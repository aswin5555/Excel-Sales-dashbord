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swin\Downloads\"/>
    </mc:Choice>
  </mc:AlternateContent>
  <xr:revisionPtr revIDLastSave="0" documentId="13_ncr:1_{26DE2AE9-7E8B-4C8F-B78E-EBCDC547DE6B}" xr6:coauthVersionLast="47" xr6:coauthVersionMax="47" xr10:uidLastSave="{00000000-0000-0000-0000-000000000000}"/>
  <bookViews>
    <workbookView xWindow="-110" yWindow="-110" windowWidth="19420" windowHeight="10300" xr2:uid="{C0893FBD-34B3-420E-B0D6-EC330180DDEA}"/>
  </bookViews>
  <sheets>
    <sheet name="Sheet2" sheetId="5" r:id="rId1"/>
    <sheet name="SalesData" sheetId="3" r:id="rId2"/>
    <sheet name="Sheet1" sheetId="4"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8" i="3" l="1"/>
  <c r="K10" i="3"/>
  <c r="H3" i="3"/>
  <c r="K4" i="3"/>
  <c r="I32" i="3"/>
  <c r="I10" i="3"/>
  <c r="I14" i="3"/>
  <c r="G14" i="3"/>
  <c r="F14" i="3"/>
  <c r="H14" i="3" s="1"/>
  <c r="G40" i="3"/>
  <c r="F40" i="3"/>
  <c r="H40" i="3" s="1"/>
  <c r="I40" i="3" s="1"/>
  <c r="G25" i="3"/>
  <c r="F25" i="3"/>
  <c r="H25" i="3" s="1"/>
  <c r="I25" i="3" s="1"/>
  <c r="G13" i="3"/>
  <c r="F13" i="3"/>
  <c r="H13" i="3" s="1"/>
  <c r="I13" i="3" s="1"/>
  <c r="G39" i="3"/>
  <c r="F39" i="3"/>
  <c r="H39" i="3" s="1"/>
  <c r="I39" i="3" s="1"/>
  <c r="G51" i="3"/>
  <c r="F51" i="3"/>
  <c r="H51" i="3" s="1"/>
  <c r="I51" i="3" s="1"/>
  <c r="G38" i="3"/>
  <c r="F38" i="3"/>
  <c r="H38" i="3" s="1"/>
  <c r="I38" i="3" s="1"/>
  <c r="G24" i="3"/>
  <c r="F24" i="3"/>
  <c r="H24" i="3" s="1"/>
  <c r="I24" i="3" s="1"/>
  <c r="G12" i="3"/>
  <c r="F12" i="3"/>
  <c r="H12" i="3" s="1"/>
  <c r="I12" i="3" s="1"/>
  <c r="G50" i="3"/>
  <c r="F50" i="3"/>
  <c r="H50" i="3" s="1"/>
  <c r="I50" i="3" s="1"/>
  <c r="G23" i="3"/>
  <c r="F23" i="3"/>
  <c r="H23" i="3" s="1"/>
  <c r="I23" i="3" s="1"/>
  <c r="G37" i="3"/>
  <c r="F37" i="3"/>
  <c r="H37" i="3" s="1"/>
  <c r="I37" i="3" s="1"/>
  <c r="G11" i="3"/>
  <c r="F11" i="3"/>
  <c r="H11" i="3" s="1"/>
  <c r="I11" i="3" s="1"/>
  <c r="G49" i="3"/>
  <c r="F49" i="3"/>
  <c r="H49" i="3" s="1"/>
  <c r="I49" i="3" s="1"/>
  <c r="G22" i="3"/>
  <c r="F22" i="3"/>
  <c r="H22" i="3" s="1"/>
  <c r="I22" i="3" s="1"/>
  <c r="G36" i="3"/>
  <c r="F36" i="3"/>
  <c r="H36" i="3" s="1"/>
  <c r="I36" i="3" s="1"/>
  <c r="G10" i="3"/>
  <c r="F10" i="3"/>
  <c r="H10" i="3" s="1"/>
  <c r="G48" i="3"/>
  <c r="F48" i="3"/>
  <c r="H48" i="3" s="1"/>
  <c r="I48" i="3" s="1"/>
  <c r="G9" i="3"/>
  <c r="F9" i="3"/>
  <c r="H9" i="3" s="1"/>
  <c r="I9" i="3" s="1"/>
  <c r="G21" i="3"/>
  <c r="F21" i="3"/>
  <c r="H21" i="3" s="1"/>
  <c r="I21" i="3" s="1"/>
  <c r="G35" i="3"/>
  <c r="F35" i="3"/>
  <c r="H35" i="3" s="1"/>
  <c r="I35" i="3" s="1"/>
  <c r="G47" i="3"/>
  <c r="F47" i="3"/>
  <c r="H47" i="3" s="1"/>
  <c r="I47" i="3" s="1"/>
  <c r="G20" i="3"/>
  <c r="F20" i="3"/>
  <c r="H20" i="3" s="1"/>
  <c r="I20" i="3" s="1"/>
  <c r="G46" i="3"/>
  <c r="F46" i="3"/>
  <c r="H46" i="3" s="1"/>
  <c r="I46" i="3" s="1"/>
  <c r="G34" i="3"/>
  <c r="F34" i="3"/>
  <c r="H34" i="3" s="1"/>
  <c r="I34" i="3" s="1"/>
  <c r="G8" i="3"/>
  <c r="F8" i="3"/>
  <c r="H8" i="3" s="1"/>
  <c r="I8" i="3" s="1"/>
  <c r="G19" i="3"/>
  <c r="F19" i="3"/>
  <c r="H19" i="3" s="1"/>
  <c r="I19" i="3" s="1"/>
  <c r="G7" i="3"/>
  <c r="F7" i="3"/>
  <c r="H7" i="3" s="1"/>
  <c r="I7" i="3" s="1"/>
  <c r="G45" i="3"/>
  <c r="F45" i="3"/>
  <c r="H45" i="3" s="1"/>
  <c r="I45" i="3" s="1"/>
  <c r="G33" i="3"/>
  <c r="F33" i="3"/>
  <c r="H33" i="3" s="1"/>
  <c r="I33" i="3" s="1"/>
  <c r="G18" i="3"/>
  <c r="F18" i="3"/>
  <c r="H18" i="3" s="1"/>
  <c r="I18" i="3" s="1"/>
  <c r="G44" i="3"/>
  <c r="F44" i="3"/>
  <c r="H44" i="3" s="1"/>
  <c r="I44" i="3" s="1"/>
  <c r="G32" i="3"/>
  <c r="F32" i="3"/>
  <c r="H32" i="3" s="1"/>
  <c r="G31" i="3"/>
  <c r="F31" i="3"/>
  <c r="H31" i="3" s="1"/>
  <c r="I31" i="3" s="1"/>
  <c r="G17" i="3"/>
  <c r="F17" i="3"/>
  <c r="H17" i="3" s="1"/>
  <c r="I17" i="3" s="1"/>
  <c r="G43" i="3"/>
  <c r="F43" i="3"/>
  <c r="H43" i="3" s="1"/>
  <c r="I43" i="3" s="1"/>
  <c r="G6" i="3"/>
  <c r="F6" i="3"/>
  <c r="H6" i="3" s="1"/>
  <c r="I6" i="3" s="1"/>
  <c r="G30" i="3"/>
  <c r="F30" i="3"/>
  <c r="H30" i="3" s="1"/>
  <c r="I30" i="3" s="1"/>
  <c r="G29" i="3"/>
  <c r="F29" i="3"/>
  <c r="H29" i="3" s="1"/>
  <c r="I29" i="3" s="1"/>
  <c r="G5" i="3"/>
  <c r="F5" i="3"/>
  <c r="H5" i="3" s="1"/>
  <c r="I5" i="3" s="1"/>
  <c r="G28" i="3"/>
  <c r="F28" i="3"/>
  <c r="H28" i="3" s="1"/>
  <c r="I28" i="3" s="1"/>
  <c r="G42" i="3"/>
  <c r="F42" i="3"/>
  <c r="H42" i="3" s="1"/>
  <c r="I42" i="3" s="1"/>
  <c r="G27" i="3"/>
  <c r="F27" i="3"/>
  <c r="H27" i="3" s="1"/>
  <c r="I27" i="3" s="1"/>
  <c r="G16" i="3"/>
  <c r="F16" i="3"/>
  <c r="H16" i="3" s="1"/>
  <c r="I16" i="3" s="1"/>
  <c r="G4" i="3"/>
  <c r="F4" i="3"/>
  <c r="H4" i="3" s="1"/>
  <c r="I4" i="3" s="1"/>
  <c r="G41" i="3"/>
  <c r="F41" i="3"/>
  <c r="H41" i="3" s="1"/>
  <c r="I41" i="3" s="1"/>
  <c r="G15" i="3"/>
  <c r="F15" i="3"/>
  <c r="H15" i="3" s="1"/>
  <c r="I15" i="3" s="1"/>
  <c r="G26" i="3"/>
  <c r="F26" i="3"/>
  <c r="H26" i="3" s="1"/>
  <c r="I26" i="3" s="1"/>
  <c r="G3" i="3"/>
  <c r="F3" i="3"/>
  <c r="K2" i="3" l="1"/>
  <c r="I3" i="3"/>
  <c r="K6" i="3" s="1"/>
</calcChain>
</file>

<file path=xl/sharedStrings.xml><?xml version="1.0" encoding="utf-8"?>
<sst xmlns="http://schemas.openxmlformats.org/spreadsheetml/2006/main" count="194" uniqueCount="38">
  <si>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</si>
  <si>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</si>
  <si>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</si>
  <si>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</si>
  <si>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</si>
  <si>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</si>
  <si>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</si>
  <si>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</si>
  <si>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</si>
  <si>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</si>
  <si>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</si>
  <si>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</si>
  <si>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</si>
  <si>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</si>
  <si>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</si>
  <si>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</si>
  <si>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</si>
  <si>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</si>
  <si>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</si>
  <si>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</si>
  <si>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</si>
  <si>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</si>
  <si>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</si>
  <si>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</si>
  <si>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</si>
  <si>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</si>
  <si>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</si>
  <si>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</si>
  <si>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</si>
  <si>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Grand Total</t>
  </si>
  <si>
    <t>Unit Sold</t>
  </si>
  <si>
    <t>Total profit</t>
  </si>
  <si>
    <t>Average Sales</t>
  </si>
  <si>
    <t>Profit</t>
  </si>
  <si>
    <t>Row Labels</t>
  </si>
  <si>
    <t>Sum of Total Sales</t>
  </si>
  <si>
    <t>Sum of Units Sold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</si>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</sst>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Rs.&quot;\ * #,##0_ ;_ &quot;Rs.&quot;\ * \-#,##0_ ;_ &quot;Rs.&quot;\ * &quot;-&quot;_ ;_ @_ "/>
    <numFmt numFmtId="165" formatCode="[$₹-449]\ #,##0;[$₹-449]\ \-#,##0"/>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2">
    <xf numFmtId="0" fontId="0" fillId="0" borderId="0"/>
    <xf numFmtId="164" fontId="1" fillId="0" borderId="0" applyFont="0" applyFill="0" applyBorder="0" applyAlignment="0" applyProtection="0"/>
  </cellStyleXfs>
  <cellXfs count="16">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164" fontId="0" fillId="0" borderId="0" xfId="0" applyNumberFormat="1"/>
    <xf numFmtId="0" fontId="0" fillId="0" borderId="0" xfId="0" applyAlignment="1">
      <alignment horizontal="center" vertical="center"/>
    </xf>
    <xf numFmtId="164" fontId="0" fillId="0" borderId="0" xfId="0" applyNumberFormat="1" applyAlignment="1">
      <alignment horizontal="left"/>
    </xf>
    <xf numFmtId="0" fontId="0" fillId="0" borderId="0" xfId="0" pivotButton="1"/>
    <xf numFmtId="14" fontId="0" fillId="0" borderId="0" xfId="0" applyNumberFormat="1" applyAlignment="1">
      <alignment horizontal="left"/>
    </xf>
    <xf numFmtId="165" fontId="0" fillId="0" borderId="0" xfId="0" applyNumberFormat="1"/>
    <xf numFmtId="0" fontId="3" fillId="0" borderId="0" xfId="0" applyFont="1"/>
    <xf numFmtId="0" fontId="0" fillId="0" borderId="0" xfId="0" applyAlignment="1">
      <alignment vertical="center"/>
    </xf>
    <xf numFmtId="164" fontId="0" fillId="0" borderId="0" xfId="0" applyNumberFormat="1" applyAlignment="1">
      <alignment horizontal="center" vertical="top"/>
    </xf>
    <xf numFmtId="0" fontId="4" fillId="0" borderId="0" xfId="0" applyFont="1" applyAlignment="1">
      <alignment horizontal="left"/>
    </xf>
  </cellXfs>
  <cellStyles count="2">
    <cellStyle name="Currency [0]" xfId="1" builtinId="7"/>
    <cellStyle name="Normal" xfId="0" builtinId="0"/>
  </cellStyles>
  <dxfs count="8">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colors>
    <mruColors>
      <color rgb="FF99FF33"/>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Dashboard.xlsx]Sheet2!PivotTable4</c:name>
    <c:fmtId val="41"/>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3494B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8"/>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9"/>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2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2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2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2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manualLayout>
          <c:layoutTarget val="inner"/>
          <c:xMode val="edge"/>
          <c:yMode val="edge"/>
          <c:x val="0.119580927384077"/>
          <c:y val="0.13365522018081072"/>
          <c:w val="0.80883802223023271"/>
          <c:h val="0.70584143841594305"/>
        </c:manualLayout>
      </c:layout>
      <c:lineChart>
        <c:grouping val="standard"/>
        <c:varyColors val="0"/>
        <c:ser>
          <c:idx val="0"/>
          <c:order val="0"/>
          <c:tx>
            <c:strRef>
              <c:f>Sheet2!$K$5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Pt>
            <c:idx val="0"/>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0-2F29-4FC4-82EC-8595D948CF59}"/>
              </c:ext>
            </c:extLst>
          </c:dPt>
          <c:dPt>
            <c:idx val="1"/>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2F29-4FC4-82EC-8595D948CF59}"/>
              </c:ext>
            </c:extLst>
          </c:dPt>
          <c:dPt>
            <c:idx val="2"/>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2F29-4FC4-82EC-8595D948CF59}"/>
              </c:ext>
            </c:extLst>
          </c:dPt>
          <c:dPt>
            <c:idx val="3"/>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2F29-4FC4-82EC-8595D948CF59}"/>
              </c:ext>
            </c:extLst>
          </c:dPt>
          <c:dPt>
            <c:idx val="4"/>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2F29-4FC4-82EC-8595D948CF59}"/>
              </c:ext>
            </c:extLst>
          </c:dPt>
          <c:dPt>
            <c:idx val="5"/>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2F29-4FC4-82EC-8595D948CF59}"/>
              </c:ext>
            </c:extLst>
          </c:dPt>
          <c:dPt>
            <c:idx val="6"/>
            <c:marker>
              <c:symbol val="circle"/>
              <c:size val="14"/>
              <c:spPr>
                <a:solidFill>
                  <a:schemeClr val="accent1"/>
                </a:solidFill>
                <a:ln>
                  <a:noFill/>
                </a:ln>
                <a:effectLst/>
              </c:spPr>
            </c:marker>
            <c:bubble3D val="0"/>
            <c:extLst>
              <c:ext xmlns:c16="http://schemas.microsoft.com/office/drawing/2014/chart" uri="{C3380CC4-5D6E-409C-BE32-E72D297353CC}">
                <c16:uniqueId val="{00000006-2F29-4FC4-82EC-8595D948CF59}"/>
              </c:ext>
            </c:extLst>
          </c:dPt>
          <c:dLbls>
            <c:spPr>
              <a:solidFill>
                <a:srgbClr val="3494B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Sheet2!$J$6:$J$12</c:f>
              <c:strCache>
                <c:ptCount val="6"/>
                <c:pt idx="0">
                  <c:v>Action Figure</c:v>
                </c:pt>
                <c:pt idx="1">
                  <c:v>Blender</c:v>
                </c:pt>
                <c:pt idx="2">
                  <c:v>Moisturizer</c:v>
                </c:pt>
                <c:pt idx="3">
                  <c:v>Smartphone</c:v>
                </c:pt>
                <c:pt idx="4">
                  <c:v>Sneakers</c:v>
                </c:pt>
                <c:pt idx="5">
                  <c:v>Tent</c:v>
                </c:pt>
              </c:strCache>
            </c:strRef>
          </c:cat>
          <c:val>
            <c:numRef>
              <c:f>Sheet2!$K$6:$K$12</c:f>
              <c:numCache>
                <c:formatCode>General</c:formatCode>
                <c:ptCount val="6"/>
                <c:pt idx="0">
                  <c:v>173</c:v>
                </c:pt>
                <c:pt idx="1">
                  <c:v>194</c:v>
                </c:pt>
                <c:pt idx="2">
                  <c:v>193</c:v>
                </c:pt>
                <c:pt idx="3">
                  <c:v>127</c:v>
                </c:pt>
                <c:pt idx="4">
                  <c:v>206</c:v>
                </c:pt>
                <c:pt idx="5">
                  <c:v>73</c:v>
                </c:pt>
              </c:numCache>
            </c:numRef>
          </c:val>
          <c:smooth val="0"/>
          <c:extLst>
            <c:ext xmlns:c16="http://schemas.microsoft.com/office/drawing/2014/chart" uri="{C3380CC4-5D6E-409C-BE32-E72D297353CC}">
              <c16:uniqueId val="{00000007-2F29-4FC4-82EC-8595D948CF5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19834000"/>
        <c:axId val="2119835920"/>
      </c:lineChart>
      <c:catAx>
        <c:axId val="2119834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119835920"/>
        <c:crosses val="autoZero"/>
        <c:auto val="0"/>
        <c:lblAlgn val="ctr"/>
        <c:lblOffset val="100"/>
        <c:noMultiLvlLbl val="0"/>
      </c:catAx>
      <c:valAx>
        <c:axId val="2119835920"/>
        <c:scaling>
          <c:orientation val="minMax"/>
        </c:scaling>
        <c:delete val="1"/>
        <c:axPos val="l"/>
        <c:numFmt formatCode="General" sourceLinked="1"/>
        <c:majorTickMark val="none"/>
        <c:minorTickMark val="none"/>
        <c:tickLblPos val="nextTo"/>
        <c:crossAx val="211983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77"/>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1666666666666563E-2"/>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8888888888888892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277777777777777"/>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1666666666666563E-2"/>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8888888888888892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277777777777777"/>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1666666666666563E-2"/>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8888888888888892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35259011373578303"/>
          <c:y val="0.27391149023038786"/>
          <c:w val="0.26148643919510062"/>
          <c:h val="0.43581073199183434"/>
        </c:manualLayout>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CD-4747-9056-04AFAD040B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CD-4747-9056-04AFAD040B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CD-4747-9056-04AFAD040B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CD-4747-9056-04AFAD040B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CD-4747-9056-04AFAD040B25}"/>
              </c:ext>
            </c:extLst>
          </c:dPt>
          <c:dLbls>
            <c:dLbl>
              <c:idx val="0"/>
              <c:layout>
                <c:manualLayout>
                  <c:x val="0.10277777777777777"/>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CD-4747-9056-04AFAD040B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Sheet2!$A$4:$A$5</c:f>
              <c:strCache>
                <c:ptCount val="1"/>
                <c:pt idx="0">
                  <c:v>East</c:v>
                </c:pt>
              </c:strCache>
            </c:strRef>
          </c:cat>
          <c:val>
            <c:numRef>
              <c:f>Sheet2!$B$4:$B$5</c:f>
              <c:numCache>
                <c:formatCode>[$₹-449]\ #,##0;[$₹-449]\ \-#,##0</c:formatCode>
                <c:ptCount val="1"/>
                <c:pt idx="0">
                  <c:v>3534400</c:v>
                </c:pt>
              </c:numCache>
            </c:numRef>
          </c:val>
          <c:extLst>
            <c:ext xmlns:c16="http://schemas.microsoft.com/office/drawing/2014/chart" uri="{C3380CC4-5D6E-409C-BE32-E72D297353CC}">
              <c16:uniqueId val="{0000000A-14CD-4747-9056-04AFAD040B25}"/>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tx>
            <c:rich>
              <a:bodyPr/>
              <a:lstStyle/>
              <a:p>
                <a:fld id="{CF43B384-3771-45AA-983D-5E78F6E6C243}" type="VALUE">
                  <a:rPr lang="en-US" b="0">
                    <a:solidFill>
                      <a:schemeClr val="accent4">
                        <a:lumMod val="50000"/>
                      </a:schemeClr>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4CEECB-43C3-4771-82F2-665CFBB6B36C}"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7A9D91-F90E-48BE-AC88-CC9EB5981B7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316615-84BA-4EE8-AE15-5EAC985A76AC}"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CBDFFC-9034-4C57-B524-14177E66CBC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38B938-8FA1-45D3-AE04-DCB028FCA589}"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70025B-198C-4BCD-849E-C4C6BC453E87}"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464929-7D1F-433F-A28B-9BF08F2A4195}"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464929-7D1F-433F-A28B-9BF08F2A4195}"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70025B-198C-4BCD-849E-C4C6BC453E87}"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38B938-8FA1-45D3-AE04-DCB028FCA589}"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CBDFFC-9034-4C57-B524-14177E66CBC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316615-84BA-4EE8-AE15-5EAC985A76AC}"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7A9D91-F90E-48BE-AC88-CC9EB5981B7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4CEECB-43C3-4771-82F2-665CFBB6B36C}"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464929-7D1F-433F-A28B-9BF08F2A4195}"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70025B-198C-4BCD-849E-C4C6BC453E87}"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38B938-8FA1-45D3-AE04-DCB028FCA589}"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CBDFFC-9034-4C57-B524-14177E66CBC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316615-84BA-4EE8-AE15-5EAC985A76AC}"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7A9D91-F90E-48BE-AC88-CC9EB5981B76}"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4CEECB-43C3-4771-82F2-665CFBB6B36C}"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5032261592300964"/>
          <c:y val="0.16606262758821813"/>
          <c:w val="0.72628149606299208"/>
          <c:h val="0.70838983668708089"/>
        </c:manualLayout>
      </c:layout>
      <c:barChart>
        <c:barDir val="bar"/>
        <c:grouping val="clustered"/>
        <c:varyColors val="0"/>
        <c:ser>
          <c:idx val="0"/>
          <c:order val="0"/>
          <c:tx>
            <c:strRef>
              <c:f>Sheet2!$E$7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FE2-4E3B-A39D-053B21190A8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FE2-4E3B-A39D-053B21190A8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6FE2-4E3B-A39D-053B21190A8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6FE2-4E3B-A39D-053B21190A8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6FE2-4E3B-A39D-053B21190A8D}"/>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6FE2-4E3B-A39D-053B21190A8D}"/>
              </c:ext>
            </c:extLst>
          </c:dPt>
          <c:dPt>
            <c:idx val="6"/>
            <c:invertIfNegative val="0"/>
            <c:bubble3D val="0"/>
            <c:extLst>
              <c:ext xmlns:c16="http://schemas.microsoft.com/office/drawing/2014/chart" uri="{C3380CC4-5D6E-409C-BE32-E72D297353CC}">
                <c16:uniqueId val="{0000000D-6FE2-4E3B-A39D-053B21190A8D}"/>
              </c:ext>
            </c:extLst>
          </c:dPt>
          <c:dLbls>
            <c:dLbl>
              <c:idx val="0"/>
              <c:tx>
                <c:rich>
                  <a:bodyPr/>
                  <a:lstStyle/>
                  <a:p>
                    <a:fld id="{80464929-7D1F-433F-A28B-9BF08F2A4195}"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FE2-4E3B-A39D-053B21190A8D}"/>
                </c:ext>
              </c:extLst>
            </c:dLbl>
            <c:dLbl>
              <c:idx val="1"/>
              <c:tx>
                <c:rich>
                  <a:bodyPr/>
                  <a:lstStyle/>
                  <a:p>
                    <a:fld id="{C970025B-198C-4BCD-849E-C4C6BC453E87}"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FE2-4E3B-A39D-053B21190A8D}"/>
                </c:ext>
              </c:extLst>
            </c:dLbl>
            <c:dLbl>
              <c:idx val="2"/>
              <c:tx>
                <c:rich>
                  <a:bodyPr/>
                  <a:lstStyle/>
                  <a:p>
                    <a:fld id="{2538B938-8FA1-45D3-AE04-DCB028FCA589}"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FE2-4E3B-A39D-053B21190A8D}"/>
                </c:ext>
              </c:extLst>
            </c:dLbl>
            <c:dLbl>
              <c:idx val="3"/>
              <c:tx>
                <c:rich>
                  <a:bodyPr/>
                  <a:lstStyle/>
                  <a:p>
                    <a:fld id="{3B316615-84BA-4EE8-AE15-5EAC985A76AC}"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FE2-4E3B-A39D-053B21190A8D}"/>
                </c:ext>
              </c:extLst>
            </c:dLbl>
            <c:dLbl>
              <c:idx val="4"/>
              <c:tx>
                <c:rich>
                  <a:bodyPr/>
                  <a:lstStyle/>
                  <a:p>
                    <a:fld id="{417A9D91-F90E-48BE-AC88-CC9EB5981B76}"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6FE2-4E3B-A39D-053B21190A8D}"/>
                </c:ext>
              </c:extLst>
            </c:dLbl>
            <c:dLbl>
              <c:idx val="5"/>
              <c:tx>
                <c:rich>
                  <a:bodyPr/>
                  <a:lstStyle/>
                  <a:p>
                    <a:fld id="{064CEECB-43C3-4771-82F2-665CFBB6B36C}"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6FE2-4E3B-A39D-053B21190A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Sheet2!$D$8:$D$14</c:f>
              <c:strCache>
                <c:ptCount val="6"/>
                <c:pt idx="0">
                  <c:v>Action Figure</c:v>
                </c:pt>
                <c:pt idx="1">
                  <c:v>Blender</c:v>
                </c:pt>
                <c:pt idx="2">
                  <c:v>Moisturizer</c:v>
                </c:pt>
                <c:pt idx="3">
                  <c:v>Smartphone</c:v>
                </c:pt>
                <c:pt idx="4">
                  <c:v>Sneakers</c:v>
                </c:pt>
                <c:pt idx="5">
                  <c:v>Tent</c:v>
                </c:pt>
              </c:strCache>
            </c:strRef>
          </c:cat>
          <c:val>
            <c:numRef>
              <c:f>Sheet2!$E$8:$E$14</c:f>
              <c:numCache>
                <c:formatCode>[$₹-449]\ #,##0;[$₹-449]\ \-#,##0</c:formatCode>
                <c:ptCount val="6"/>
                <c:pt idx="0">
                  <c:v>207600</c:v>
                </c:pt>
                <c:pt idx="1">
                  <c:v>679000</c:v>
                </c:pt>
                <c:pt idx="2">
                  <c:v>115800</c:v>
                </c:pt>
                <c:pt idx="3">
                  <c:v>1270000</c:v>
                </c:pt>
                <c:pt idx="4">
                  <c:v>824000</c:v>
                </c:pt>
                <c:pt idx="5">
                  <c:v>438000</c:v>
                </c:pt>
              </c:numCache>
            </c:numRef>
          </c:val>
          <c:extLst>
            <c:ext xmlns:c16="http://schemas.microsoft.com/office/drawing/2014/chart" uri="{C3380CC4-5D6E-409C-BE32-E72D297353CC}">
              <c16:uniqueId val="{0000000E-6FE2-4E3B-A39D-053B21190A8D}"/>
            </c:ext>
          </c:extLst>
        </c:ser>
        <c:dLbls>
          <c:dLblPos val="outEnd"/>
          <c:showLegendKey val="0"/>
          <c:showVal val="1"/>
          <c:showCatName val="0"/>
          <c:showSerName val="0"/>
          <c:showPercent val="0"/>
          <c:showBubbleSize val="0"/>
        </c:dLbls>
        <c:gapWidth val="182"/>
        <c:axId val="2119841200"/>
        <c:axId val="2119834480"/>
      </c:barChart>
      <c:catAx>
        <c:axId val="211984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34480"/>
        <c:crosses val="autoZero"/>
        <c:auto val="1"/>
        <c:lblAlgn val="ctr"/>
        <c:lblOffset val="100"/>
        <c:noMultiLvlLbl val="0"/>
      </c:catAx>
      <c:valAx>
        <c:axId val="2119834480"/>
        <c:scaling>
          <c:orientation val="minMax"/>
        </c:scaling>
        <c:delete val="1"/>
        <c:axPos val="b"/>
        <c:numFmt formatCode="[$₹-449]\ #,##0;[$₹-449]\ \-#,##0" sourceLinked="1"/>
        <c:majorTickMark val="none"/>
        <c:minorTickMark val="none"/>
        <c:tickLblPos val="nextTo"/>
        <c:crossAx val="211984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Dashboard.xlsx]Sheet2!PivotTable3</c:name>
    <c:fmtId val="16"/>
  </c:pivotSource>
  <c:chart>
    <c:autoTitleDeleted val="1"/>
    <c:pivotFmts>
      <c:pivotFmt>
        <c:idx val="0"/>
        <c:spPr>
          <a:solidFill>
            <a:schemeClr val="accent1"/>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6"/>
            </a:solidFill>
          </a:ln>
          <a:effectLst/>
        </c:spPr>
        <c:dLbl>
          <c:idx val="0"/>
          <c:layout>
            <c:manualLayout>
              <c:x val="3.0555555555555555E-2"/>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6"/>
            </a:solidFill>
          </a:ln>
          <a:effectLst/>
        </c:spPr>
        <c:dLbl>
          <c:idx val="0"/>
          <c:layout>
            <c:manualLayout>
              <c:x val="-2.7777777777777779E-3"/>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6"/>
            </a:solidFill>
          </a:ln>
          <a:effectLst/>
        </c:spPr>
        <c:dLbl>
          <c:idx val="0"/>
          <c:layout>
            <c:manualLayout>
              <c:x val="-2.7777777777777779E-3"/>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6"/>
            </a:solidFill>
          </a:ln>
          <a:effectLst/>
        </c:spPr>
        <c:dLbl>
          <c:idx val="0"/>
          <c:layout>
            <c:manualLayout>
              <c:x val="3.0555555555555555E-2"/>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6"/>
            </a:solidFill>
          </a:ln>
          <a:effectLst/>
        </c:spPr>
        <c:dLbl>
          <c:idx val="0"/>
          <c:layout>
            <c:manualLayout>
              <c:x val="-2.7777777777777779E-3"/>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6"/>
            </a:solidFill>
          </a:ln>
          <a:effectLst/>
        </c:spPr>
        <c:dLbl>
          <c:idx val="0"/>
          <c:layout>
            <c:manualLayout>
              <c:x val="3.0555555555555555E-2"/>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39935990911445E-2"/>
          <c:y val="8.43472585969052E-2"/>
          <c:w val="0.93888888888888888"/>
          <c:h val="0.65890128317293672"/>
        </c:manualLayout>
      </c:layout>
      <c:barChart>
        <c:barDir val="col"/>
        <c:grouping val="clustered"/>
        <c:varyColors val="0"/>
        <c:ser>
          <c:idx val="0"/>
          <c:order val="0"/>
          <c:tx>
            <c:strRef>
              <c:f>Sheet2!$H$4</c:f>
              <c:strCache>
                <c:ptCount val="1"/>
                <c:pt idx="0">
                  <c:v>Total</c:v>
                </c:pt>
              </c:strCache>
            </c:strRef>
          </c:tx>
          <c:spPr>
            <a:solidFill>
              <a:schemeClr val="accent1"/>
            </a:solidFill>
            <a:ln>
              <a:solidFill>
                <a:schemeClr val="accent6"/>
              </a:solidFill>
            </a:ln>
            <a:effectLst/>
          </c:spPr>
          <c:invertIfNegative val="0"/>
          <c:dPt>
            <c:idx val="0"/>
            <c:invertIfNegative val="0"/>
            <c:bubble3D val="0"/>
            <c:extLst>
              <c:ext xmlns:c16="http://schemas.microsoft.com/office/drawing/2014/chart" uri="{C3380CC4-5D6E-409C-BE32-E72D297353CC}">
                <c16:uniqueId val="{00000001-C7F7-4F83-87A7-08043DF08D9D}"/>
              </c:ext>
            </c:extLst>
          </c:dPt>
          <c:dPt>
            <c:idx val="3"/>
            <c:invertIfNegative val="0"/>
            <c:bubble3D val="0"/>
            <c:extLst>
              <c:ext xmlns:c16="http://schemas.microsoft.com/office/drawing/2014/chart" uri="{C3380CC4-5D6E-409C-BE32-E72D297353CC}">
                <c16:uniqueId val="{00000001-B9DE-44F6-9294-CAC51515350E}"/>
              </c:ext>
            </c:extLst>
          </c:dPt>
          <c:dPt>
            <c:idx val="4"/>
            <c:invertIfNegative val="0"/>
            <c:bubble3D val="0"/>
            <c:extLst>
              <c:ext xmlns:c16="http://schemas.microsoft.com/office/drawing/2014/chart" uri="{C3380CC4-5D6E-409C-BE32-E72D297353CC}">
                <c16:uniqueId val="{00000003-B9DE-44F6-9294-CAC51515350E}"/>
              </c:ext>
            </c:extLst>
          </c:dPt>
          <c:dLbls>
            <c:dLbl>
              <c:idx val="3"/>
              <c:layout>
                <c:manualLayout>
                  <c:x val="-2.7777777777777779E-3"/>
                  <c:y val="9.259259259259217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DE-44F6-9294-CAC5151535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Sheet2!$G$5:$G$12</c:f>
              <c:strCache>
                <c:ptCount val="7"/>
                <c:pt idx="0">
                  <c:v>Andrew</c:v>
                </c:pt>
                <c:pt idx="1">
                  <c:v>Anna</c:v>
                </c:pt>
                <c:pt idx="2">
                  <c:v>Cameron</c:v>
                </c:pt>
                <c:pt idx="3">
                  <c:v>Carolyn</c:v>
                </c:pt>
                <c:pt idx="4">
                  <c:v>Ella</c:v>
                </c:pt>
                <c:pt idx="5">
                  <c:v>Grace</c:v>
                </c:pt>
                <c:pt idx="6">
                  <c:v>Nicholas</c:v>
                </c:pt>
              </c:strCache>
            </c:strRef>
          </c:cat>
          <c:val>
            <c:numRef>
              <c:f>Sheet2!$H$5:$H$12</c:f>
              <c:numCache>
                <c:formatCode>[$₹-449]\ #,##0;[$₹-449]\ \-#,##0</c:formatCode>
                <c:ptCount val="7"/>
                <c:pt idx="0">
                  <c:v>61800</c:v>
                </c:pt>
                <c:pt idx="1">
                  <c:v>452000</c:v>
                </c:pt>
                <c:pt idx="2">
                  <c:v>1270000</c:v>
                </c:pt>
                <c:pt idx="3">
                  <c:v>433200</c:v>
                </c:pt>
                <c:pt idx="4">
                  <c:v>285000</c:v>
                </c:pt>
                <c:pt idx="5">
                  <c:v>966400</c:v>
                </c:pt>
                <c:pt idx="6">
                  <c:v>66000</c:v>
                </c:pt>
              </c:numCache>
            </c:numRef>
          </c:val>
          <c:extLst>
            <c:ext xmlns:c16="http://schemas.microsoft.com/office/drawing/2014/chart" uri="{C3380CC4-5D6E-409C-BE32-E72D297353CC}">
              <c16:uniqueId val="{00000004-B9DE-44F6-9294-CAC51515350E}"/>
            </c:ext>
          </c:extLst>
        </c:ser>
        <c:dLbls>
          <c:dLblPos val="outEnd"/>
          <c:showLegendKey val="0"/>
          <c:showVal val="1"/>
          <c:showCatName val="0"/>
          <c:showSerName val="0"/>
          <c:showPercent val="0"/>
          <c:showBubbleSize val="0"/>
        </c:dLbls>
        <c:gapWidth val="219"/>
        <c:overlap val="-27"/>
        <c:axId val="2119843600"/>
        <c:axId val="2119844080"/>
      </c:barChart>
      <c:catAx>
        <c:axId val="2119843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44080"/>
        <c:crosses val="autoZero"/>
        <c:auto val="1"/>
        <c:lblAlgn val="ctr"/>
        <c:lblOffset val="100"/>
        <c:noMultiLvlLbl val="0"/>
      </c:catAx>
      <c:valAx>
        <c:axId val="2119844080"/>
        <c:scaling>
          <c:orientation val="minMax"/>
        </c:scaling>
        <c:delete val="1"/>
        <c:axPos val="l"/>
        <c:numFmt formatCode="[$₹-449]\ #,##0;[$₹-449]\ \-#,##0" sourceLinked="1"/>
        <c:majorTickMark val="out"/>
        <c:minorTickMark val="none"/>
        <c:tickLblPos val="nextTo"/>
        <c:crossAx val="211984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8</xdr:row>
      <xdr:rowOff>31750</xdr:rowOff>
    </xdr:from>
    <xdr:to>
      <xdr:col>1</xdr:col>
      <xdr:colOff>977900</xdr:colOff>
      <xdr:row>22</xdr:row>
      <xdr:rowOff>73022</xdr:rowOff>
    </xdr:to>
    <mc:AlternateContent xmlns:mc="http://schemas.openxmlformats.org/markup-compatibility/2006">
      <mc:Choice xmlns:a14="http://schemas.microsoft.com/office/drawing/2010/main" Requires="a14">
        <xdr:graphicFrame macro="">
          <xdr:nvGraphicFramePr>
            <xdr:cNvPr id="4" name="Sales Person">
              <a:extLst>
                <a:ext uri="{FF2B5EF4-FFF2-40B4-BE49-F238E27FC236}">
                  <a16:creationId xmlns:a16="http://schemas.microsoft.com/office/drawing/2014/main" id="{C883BB30-9456-69B8-19B6-338791EC1162}"/>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9050" y="1483179"/>
              <a:ext cx="1827115"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1117859</xdr:colOff>
      <xdr:row>19</xdr:row>
      <xdr:rowOff>159787</xdr:rowOff>
    </xdr:from>
    <xdr:to>
      <xdr:col>4</xdr:col>
      <xdr:colOff>66610</xdr:colOff>
      <xdr:row>23</xdr:row>
      <xdr:rowOff>102637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9A4F95D-CCB8-ED7C-0073-025A319E0A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86124" y="3606930"/>
              <a:ext cx="1553547" cy="668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4536</xdr:rowOff>
    </xdr:from>
    <xdr:to>
      <xdr:col>1</xdr:col>
      <xdr:colOff>958850</xdr:colOff>
      <xdr:row>37</xdr:row>
      <xdr:rowOff>45808</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941620F9-3A57-CF10-B318-36BBC254946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4177393"/>
              <a:ext cx="1827115"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43050</xdr:rowOff>
    </xdr:from>
    <xdr:to>
      <xdr:col>28</xdr:col>
      <xdr:colOff>211667</xdr:colOff>
      <xdr:row>81</xdr:row>
      <xdr:rowOff>18143</xdr:rowOff>
    </xdr:to>
    <xdr:sp macro="" textlink="">
      <xdr:nvSpPr>
        <xdr:cNvPr id="3" name="Rectangle 2">
          <a:extLst>
            <a:ext uri="{FF2B5EF4-FFF2-40B4-BE49-F238E27FC236}">
              <a16:creationId xmlns:a16="http://schemas.microsoft.com/office/drawing/2014/main" id="{868A2F59-1663-9D5B-DE7D-EA1EC1D82758}"/>
            </a:ext>
          </a:extLst>
        </xdr:cNvPr>
        <xdr:cNvSpPr/>
      </xdr:nvSpPr>
      <xdr:spPr>
        <a:xfrm>
          <a:off x="0" y="43050"/>
          <a:ext cx="16621881" cy="14670807"/>
        </a:xfrm>
        <a:prstGeom prst="rect">
          <a:avLst/>
        </a:prstGeom>
        <a:solidFill>
          <a:schemeClr val="bg1">
            <a:lumMod val="95000"/>
          </a:schemeClr>
        </a:solidFill>
        <a:ln>
          <a:noFill/>
          <a:beve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solidFill>
              <a:schemeClr val="accent6">
                <a:lumMod val="75000"/>
              </a:schemeClr>
            </a:solidFill>
            <a:latin typeface="Britannic Bold" panose="020B0903060703020204" pitchFamily="34" charset="0"/>
          </a:endParaRPr>
        </a:p>
      </xdr:txBody>
    </xdr:sp>
    <xdr:clientData/>
  </xdr:twoCellAnchor>
  <xdr:twoCellAnchor>
    <xdr:from>
      <xdr:col>2</xdr:col>
      <xdr:colOff>586154</xdr:colOff>
      <xdr:row>0</xdr:row>
      <xdr:rowOff>0</xdr:rowOff>
    </xdr:from>
    <xdr:to>
      <xdr:col>22</xdr:col>
      <xdr:colOff>525095</xdr:colOff>
      <xdr:row>4</xdr:row>
      <xdr:rowOff>113630</xdr:rowOff>
    </xdr:to>
    <xdr:sp macro="" textlink="">
      <xdr:nvSpPr>
        <xdr:cNvPr id="4" name="Rectangle 3">
          <a:extLst>
            <a:ext uri="{FF2B5EF4-FFF2-40B4-BE49-F238E27FC236}">
              <a16:creationId xmlns:a16="http://schemas.microsoft.com/office/drawing/2014/main" id="{0142E989-6C5C-13E1-DB31-98049D672E97}"/>
            </a:ext>
          </a:extLst>
        </xdr:cNvPr>
        <xdr:cNvSpPr/>
      </xdr:nvSpPr>
      <xdr:spPr>
        <a:xfrm>
          <a:off x="1807308" y="0"/>
          <a:ext cx="12150479" cy="846322"/>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t>NITS</a:t>
          </a:r>
        </a:p>
      </xdr:txBody>
    </xdr:sp>
    <xdr:clientData/>
  </xdr:twoCellAnchor>
  <xdr:twoCellAnchor>
    <xdr:from>
      <xdr:col>0</xdr:col>
      <xdr:colOff>0</xdr:colOff>
      <xdr:row>5</xdr:row>
      <xdr:rowOff>120315</xdr:rowOff>
    </xdr:from>
    <xdr:to>
      <xdr:col>6</xdr:col>
      <xdr:colOff>251603</xdr:colOff>
      <xdr:row>10</xdr:row>
      <xdr:rowOff>126999</xdr:rowOff>
    </xdr:to>
    <xdr:sp macro="" textlink="">
      <xdr:nvSpPr>
        <xdr:cNvPr id="10" name="Rectangle: Rounded Corners 9">
          <a:extLst>
            <a:ext uri="{FF2B5EF4-FFF2-40B4-BE49-F238E27FC236}">
              <a16:creationId xmlns:a16="http://schemas.microsoft.com/office/drawing/2014/main" id="{EB6ADC97-0459-288D-CCC8-35F3656AD473}"/>
            </a:ext>
          </a:extLst>
        </xdr:cNvPr>
        <xdr:cNvSpPr/>
      </xdr:nvSpPr>
      <xdr:spPr>
        <a:xfrm>
          <a:off x="0" y="1027458"/>
          <a:ext cx="3275413" cy="913827"/>
        </a:xfrm>
        <a:prstGeom prst="roundRect">
          <a:avLst/>
        </a:prstGeom>
        <a:ln>
          <a:solidFill>
            <a:schemeClr val="dk1">
              <a:alpha val="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a:p>
      </xdr:txBody>
    </xdr:sp>
    <xdr:clientData/>
  </xdr:twoCellAnchor>
  <xdr:twoCellAnchor>
    <xdr:from>
      <xdr:col>0</xdr:col>
      <xdr:colOff>0</xdr:colOff>
      <xdr:row>5</xdr:row>
      <xdr:rowOff>127005</xdr:rowOff>
    </xdr:from>
    <xdr:to>
      <xdr:col>5</xdr:col>
      <xdr:colOff>241904</xdr:colOff>
      <xdr:row>10</xdr:row>
      <xdr:rowOff>120952</xdr:rowOff>
    </xdr:to>
    <xdr:grpSp>
      <xdr:nvGrpSpPr>
        <xdr:cNvPr id="28" name="Group 27">
          <a:extLst>
            <a:ext uri="{FF2B5EF4-FFF2-40B4-BE49-F238E27FC236}">
              <a16:creationId xmlns:a16="http://schemas.microsoft.com/office/drawing/2014/main" id="{CB1506F1-4085-B22A-5BCD-37920D28C9DD}"/>
            </a:ext>
          </a:extLst>
        </xdr:cNvPr>
        <xdr:cNvGrpSpPr/>
      </xdr:nvGrpSpPr>
      <xdr:grpSpPr>
        <a:xfrm>
          <a:off x="0" y="1034148"/>
          <a:ext cx="2673047" cy="901090"/>
          <a:chOff x="387683" y="1049426"/>
          <a:chExt cx="2892156" cy="931361"/>
        </a:xfrm>
      </xdr:grpSpPr>
      <xdr:sp macro="" textlink="">
        <xdr:nvSpPr>
          <xdr:cNvPr id="11" name="Rectangle: Rounded Corners 10">
            <a:extLst>
              <a:ext uri="{FF2B5EF4-FFF2-40B4-BE49-F238E27FC236}">
                <a16:creationId xmlns:a16="http://schemas.microsoft.com/office/drawing/2014/main" id="{3F84DA9A-6289-415F-BA53-6DA2F0E0918A}"/>
              </a:ext>
            </a:extLst>
          </xdr:cNvPr>
          <xdr:cNvSpPr/>
        </xdr:nvSpPr>
        <xdr:spPr>
          <a:xfrm rot="5400000">
            <a:off x="324183" y="1112926"/>
            <a:ext cx="929104" cy="802104"/>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13" name="TextBox 12">
            <a:extLst>
              <a:ext uri="{FF2B5EF4-FFF2-40B4-BE49-F238E27FC236}">
                <a16:creationId xmlns:a16="http://schemas.microsoft.com/office/drawing/2014/main" id="{2D3DA209-59A2-68A6-BD16-00FBD216D9A8}"/>
              </a:ext>
            </a:extLst>
          </xdr:cNvPr>
          <xdr:cNvSpPr txBox="1"/>
        </xdr:nvSpPr>
        <xdr:spPr>
          <a:xfrm>
            <a:off x="1564106" y="1102895"/>
            <a:ext cx="1417052" cy="300789"/>
          </a:xfrm>
          <a:prstGeom prst="rect">
            <a:avLst/>
          </a:prstGeom>
          <a:solidFill>
            <a:schemeClr val="bg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accent6">
                    <a:lumMod val="75000"/>
                  </a:schemeClr>
                </a:solidFill>
              </a:rPr>
              <a:t>TOTAL</a:t>
            </a:r>
            <a:r>
              <a:rPr lang="en-US" sz="1800" b="0" baseline="0">
                <a:solidFill>
                  <a:schemeClr val="accent6">
                    <a:lumMod val="75000"/>
                  </a:schemeClr>
                </a:solidFill>
              </a:rPr>
              <a:t> SALES</a:t>
            </a:r>
            <a:endParaRPr lang="en-US" sz="1800" b="0">
              <a:solidFill>
                <a:schemeClr val="accent6">
                  <a:lumMod val="75000"/>
                </a:schemeClr>
              </a:solidFill>
            </a:endParaRPr>
          </a:p>
        </xdr:txBody>
      </xdr:sp>
      <xdr:sp macro="" textlink="SalesData!K10">
        <xdr:nvSpPr>
          <xdr:cNvPr id="14" name="TextBox 13">
            <a:extLst>
              <a:ext uri="{FF2B5EF4-FFF2-40B4-BE49-F238E27FC236}">
                <a16:creationId xmlns:a16="http://schemas.microsoft.com/office/drawing/2014/main" id="{E7697B48-1C1A-F741-AEE5-2F075CE80F65}"/>
              </a:ext>
            </a:extLst>
          </xdr:cNvPr>
          <xdr:cNvSpPr txBox="1"/>
        </xdr:nvSpPr>
        <xdr:spPr>
          <a:xfrm rot="10800000" flipV="1">
            <a:off x="1398773" y="1467428"/>
            <a:ext cx="1881066" cy="513359"/>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74A709-8A33-4448-AA67-B085C8A39356}" type="TxLink">
              <a:rPr lang="en-US" sz="1800" b="1" i="0" u="none" strike="noStrike">
                <a:solidFill>
                  <a:schemeClr val="accent6">
                    <a:lumMod val="75000"/>
                  </a:schemeClr>
                </a:solidFill>
                <a:latin typeface="Aptos Narrow"/>
              </a:rPr>
              <a:pPr/>
              <a:t> Rs. 12,440,500 </a:t>
            </a:fld>
            <a:endParaRPr lang="en-US" sz="1800" b="1">
              <a:solidFill>
                <a:schemeClr val="accent6">
                  <a:lumMod val="75000"/>
                </a:schemeClr>
              </a:solidFill>
            </a:endParaRPr>
          </a:p>
        </xdr:txBody>
      </xdr:sp>
    </xdr:grpSp>
    <xdr:clientData/>
  </xdr:twoCellAnchor>
  <xdr:twoCellAnchor>
    <xdr:from>
      <xdr:col>6</xdr:col>
      <xdr:colOff>574842</xdr:colOff>
      <xdr:row>5</xdr:row>
      <xdr:rowOff>100264</xdr:rowOff>
    </xdr:from>
    <xdr:to>
      <xdr:col>12</xdr:col>
      <xdr:colOff>274055</xdr:colOff>
      <xdr:row>10</xdr:row>
      <xdr:rowOff>106948</xdr:rowOff>
    </xdr:to>
    <xdr:sp macro="" textlink="">
      <xdr:nvSpPr>
        <xdr:cNvPr id="30" name="Rectangle: Rounded Corners 29">
          <a:extLst>
            <a:ext uri="{FF2B5EF4-FFF2-40B4-BE49-F238E27FC236}">
              <a16:creationId xmlns:a16="http://schemas.microsoft.com/office/drawing/2014/main" id="{5DF4C280-E7A1-464B-955A-DF7C2A12149D}"/>
            </a:ext>
          </a:extLst>
        </xdr:cNvPr>
        <xdr:cNvSpPr/>
      </xdr:nvSpPr>
      <xdr:spPr>
        <a:xfrm>
          <a:off x="4224421" y="1036053"/>
          <a:ext cx="3348792" cy="942474"/>
        </a:xfrm>
        <a:prstGeom prst="roundRect">
          <a:avLst/>
        </a:prstGeom>
        <a:solidFill>
          <a:schemeClr val="lt1"/>
        </a:solidFill>
        <a:ln>
          <a:solidFill>
            <a:schemeClr val="dk1">
              <a:alpha val="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588210</xdr:colOff>
      <xdr:row>5</xdr:row>
      <xdr:rowOff>113632</xdr:rowOff>
    </xdr:from>
    <xdr:to>
      <xdr:col>8</xdr:col>
      <xdr:colOff>173788</xdr:colOff>
      <xdr:row>10</xdr:row>
      <xdr:rowOff>106946</xdr:rowOff>
    </xdr:to>
    <xdr:sp macro="" textlink="">
      <xdr:nvSpPr>
        <xdr:cNvPr id="31" name="Rectangle: Rounded Corners 30">
          <a:extLst>
            <a:ext uri="{FF2B5EF4-FFF2-40B4-BE49-F238E27FC236}">
              <a16:creationId xmlns:a16="http://schemas.microsoft.com/office/drawing/2014/main" id="{4344F445-7510-4B76-B495-708F3163AF65}"/>
            </a:ext>
          </a:extLst>
        </xdr:cNvPr>
        <xdr:cNvSpPr/>
      </xdr:nvSpPr>
      <xdr:spPr>
        <a:xfrm rot="5400000">
          <a:off x="4174289" y="1112921"/>
          <a:ext cx="929104" cy="802104"/>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477349</xdr:colOff>
      <xdr:row>7</xdr:row>
      <xdr:rowOff>137268</xdr:rowOff>
    </xdr:from>
    <xdr:to>
      <xdr:col>11</xdr:col>
      <xdr:colOff>278779</xdr:colOff>
      <xdr:row>9</xdr:row>
      <xdr:rowOff>154876</xdr:rowOff>
    </xdr:to>
    <xdr:sp macro="" textlink="SalesData!K8">
      <xdr:nvSpPr>
        <xdr:cNvPr id="34" name="TextBox 33">
          <a:extLst>
            <a:ext uri="{FF2B5EF4-FFF2-40B4-BE49-F238E27FC236}">
              <a16:creationId xmlns:a16="http://schemas.microsoft.com/office/drawing/2014/main" id="{4F799129-11E0-BF9D-4463-D9EA038B4D6F}"/>
            </a:ext>
          </a:extLst>
        </xdr:cNvPr>
        <xdr:cNvSpPr txBox="1"/>
      </xdr:nvSpPr>
      <xdr:spPr>
        <a:xfrm>
          <a:off x="4705520" y="1438244"/>
          <a:ext cx="1613503" cy="389315"/>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F76EC8-CC3B-4DE4-A242-C8E571CA51F4}" type="TxLink">
            <a:rPr lang="en-US" sz="1800" b="1" i="0" u="none" strike="noStrike">
              <a:solidFill>
                <a:schemeClr val="accent6">
                  <a:lumMod val="75000"/>
                </a:schemeClr>
              </a:solidFill>
              <a:latin typeface="Aptos Narrow"/>
            </a:rPr>
            <a:pPr/>
            <a:t> Rs. 249,695 </a:t>
          </a:fld>
          <a:endParaRPr lang="en-US" sz="1800" b="1">
            <a:solidFill>
              <a:schemeClr val="accent6">
                <a:lumMod val="75000"/>
              </a:schemeClr>
            </a:solidFill>
          </a:endParaRPr>
        </a:p>
      </xdr:txBody>
    </xdr:sp>
    <xdr:clientData/>
  </xdr:twoCellAnchor>
  <xdr:twoCellAnchor>
    <xdr:from>
      <xdr:col>8</xdr:col>
      <xdr:colOff>454527</xdr:colOff>
      <xdr:row>6</xdr:row>
      <xdr:rowOff>13369</xdr:rowOff>
    </xdr:from>
    <xdr:to>
      <xdr:col>11</xdr:col>
      <xdr:colOff>367631</xdr:colOff>
      <xdr:row>7</xdr:row>
      <xdr:rowOff>93579</xdr:rowOff>
    </xdr:to>
    <xdr:sp macro="" textlink="">
      <xdr:nvSpPr>
        <xdr:cNvPr id="40" name="TextBox 39">
          <a:extLst>
            <a:ext uri="{FF2B5EF4-FFF2-40B4-BE49-F238E27FC236}">
              <a16:creationId xmlns:a16="http://schemas.microsoft.com/office/drawing/2014/main" id="{3D16016D-B21E-9E35-2FA1-BE0D7DCBA6C9}"/>
            </a:ext>
          </a:extLst>
        </xdr:cNvPr>
        <xdr:cNvSpPr txBox="1"/>
      </xdr:nvSpPr>
      <xdr:spPr>
        <a:xfrm>
          <a:off x="5320632" y="1136316"/>
          <a:ext cx="1737894" cy="267368"/>
        </a:xfrm>
        <a:prstGeom prst="rect">
          <a:avLst/>
        </a:prstGeom>
        <a:solidFill>
          <a:schemeClr val="lt1">
            <a:alpha val="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accent6">
                  <a:lumMod val="75000"/>
                </a:schemeClr>
              </a:solidFill>
            </a:rPr>
            <a:t>AVERAGE SALES</a:t>
          </a:r>
          <a:endParaRPr lang="en-US" sz="1600" b="0">
            <a:solidFill>
              <a:schemeClr val="accent6">
                <a:lumMod val="75000"/>
              </a:schemeClr>
            </a:solidFill>
          </a:endParaRPr>
        </a:p>
      </xdr:txBody>
    </xdr:sp>
    <xdr:clientData/>
  </xdr:twoCellAnchor>
  <xdr:twoCellAnchor>
    <xdr:from>
      <xdr:col>13</xdr:col>
      <xdr:colOff>60160</xdr:colOff>
      <xdr:row>5</xdr:row>
      <xdr:rowOff>93578</xdr:rowOff>
    </xdr:from>
    <xdr:to>
      <xdr:col>18</xdr:col>
      <xdr:colOff>367636</xdr:colOff>
      <xdr:row>10</xdr:row>
      <xdr:rowOff>100262</xdr:rowOff>
    </xdr:to>
    <xdr:sp macro="" textlink="">
      <xdr:nvSpPr>
        <xdr:cNvPr id="44" name="Rectangle: Rounded Corners 43">
          <a:extLst>
            <a:ext uri="{FF2B5EF4-FFF2-40B4-BE49-F238E27FC236}">
              <a16:creationId xmlns:a16="http://schemas.microsoft.com/office/drawing/2014/main" id="{534C7458-8E36-4D67-AAFC-F609F0388CCE}"/>
            </a:ext>
          </a:extLst>
        </xdr:cNvPr>
        <xdr:cNvSpPr/>
      </xdr:nvSpPr>
      <xdr:spPr>
        <a:xfrm>
          <a:off x="7967581" y="1029367"/>
          <a:ext cx="3348792" cy="942474"/>
        </a:xfrm>
        <a:prstGeom prst="roundRect">
          <a:avLst/>
        </a:prstGeom>
        <a:solidFill>
          <a:schemeClr val="lt1"/>
        </a:solidFill>
        <a:ln>
          <a:solidFill>
            <a:schemeClr val="dk1">
              <a:alpha val="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73529</xdr:colOff>
      <xdr:row>5</xdr:row>
      <xdr:rowOff>100263</xdr:rowOff>
    </xdr:from>
    <xdr:to>
      <xdr:col>14</xdr:col>
      <xdr:colOff>267370</xdr:colOff>
      <xdr:row>10</xdr:row>
      <xdr:rowOff>93577</xdr:rowOff>
    </xdr:to>
    <xdr:sp macro="" textlink="">
      <xdr:nvSpPr>
        <xdr:cNvPr id="45" name="Rectangle: Rounded Corners 44">
          <a:extLst>
            <a:ext uri="{FF2B5EF4-FFF2-40B4-BE49-F238E27FC236}">
              <a16:creationId xmlns:a16="http://schemas.microsoft.com/office/drawing/2014/main" id="{1A19575B-563B-433B-9CBD-E6E37D2C8125}"/>
            </a:ext>
          </a:extLst>
        </xdr:cNvPr>
        <xdr:cNvSpPr/>
      </xdr:nvSpPr>
      <xdr:spPr>
        <a:xfrm rot="5400000">
          <a:off x="7917450" y="1099552"/>
          <a:ext cx="929104" cy="802104"/>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594896</xdr:colOff>
      <xdr:row>6</xdr:row>
      <xdr:rowOff>26737</xdr:rowOff>
    </xdr:from>
    <xdr:to>
      <xdr:col>17</xdr:col>
      <xdr:colOff>20052</xdr:colOff>
      <xdr:row>7</xdr:row>
      <xdr:rowOff>93579</xdr:rowOff>
    </xdr:to>
    <xdr:sp macro="" textlink="">
      <xdr:nvSpPr>
        <xdr:cNvPr id="49" name="TextBox 48">
          <a:extLst>
            <a:ext uri="{FF2B5EF4-FFF2-40B4-BE49-F238E27FC236}">
              <a16:creationId xmlns:a16="http://schemas.microsoft.com/office/drawing/2014/main" id="{00657CE0-BC88-1FA9-6A3B-A80CC21AEB44}"/>
            </a:ext>
          </a:extLst>
        </xdr:cNvPr>
        <xdr:cNvSpPr txBox="1"/>
      </xdr:nvSpPr>
      <xdr:spPr>
        <a:xfrm>
          <a:off x="9110580" y="1149684"/>
          <a:ext cx="1249946" cy="254000"/>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6">
                  <a:lumMod val="75000"/>
                </a:schemeClr>
              </a:solidFill>
            </a:rPr>
            <a:t>UNITS SOLD</a:t>
          </a:r>
        </a:p>
      </xdr:txBody>
    </xdr:sp>
    <xdr:clientData/>
  </xdr:twoCellAnchor>
  <xdr:twoCellAnchor>
    <xdr:from>
      <xdr:col>15</xdr:col>
      <xdr:colOff>217025</xdr:colOff>
      <xdr:row>7</xdr:row>
      <xdr:rowOff>160758</xdr:rowOff>
    </xdr:from>
    <xdr:to>
      <xdr:col>17</xdr:col>
      <xdr:colOff>136769</xdr:colOff>
      <xdr:row>9</xdr:row>
      <xdr:rowOff>78153</xdr:rowOff>
    </xdr:to>
    <xdr:sp macro="" textlink="SalesData!K4">
      <xdr:nvSpPr>
        <xdr:cNvPr id="50" name="TextBox 49">
          <a:extLst>
            <a:ext uri="{FF2B5EF4-FFF2-40B4-BE49-F238E27FC236}">
              <a16:creationId xmlns:a16="http://schemas.microsoft.com/office/drawing/2014/main" id="{72BE74E7-AA9E-C628-011D-F040FD4154DA}"/>
            </a:ext>
          </a:extLst>
        </xdr:cNvPr>
        <xdr:cNvSpPr txBox="1"/>
      </xdr:nvSpPr>
      <xdr:spPr>
        <a:xfrm>
          <a:off x="9302410" y="1460066"/>
          <a:ext cx="1131128" cy="288625"/>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D2EF7A-1BD0-4A3F-92C8-811038910BE0}" type="TxLink">
            <a:rPr lang="en-US" sz="1800" b="1" i="0" u="none" strike="noStrike">
              <a:solidFill>
                <a:schemeClr val="accent6">
                  <a:lumMod val="75000"/>
                </a:schemeClr>
              </a:solidFill>
              <a:latin typeface="Aptos Narrow"/>
            </a:rPr>
            <a:pPr/>
            <a:t>48871</a:t>
          </a:fld>
          <a:endParaRPr lang="en-US" sz="1800" b="1">
            <a:solidFill>
              <a:schemeClr val="accent6">
                <a:lumMod val="75000"/>
              </a:schemeClr>
            </a:solidFill>
          </a:endParaRPr>
        </a:p>
      </xdr:txBody>
    </xdr:sp>
    <xdr:clientData/>
  </xdr:twoCellAnchor>
  <xdr:twoCellAnchor>
    <xdr:from>
      <xdr:col>19</xdr:col>
      <xdr:colOff>82119</xdr:colOff>
      <xdr:row>5</xdr:row>
      <xdr:rowOff>100691</xdr:rowOff>
    </xdr:from>
    <xdr:to>
      <xdr:col>24</xdr:col>
      <xdr:colOff>390588</xdr:colOff>
      <xdr:row>10</xdr:row>
      <xdr:rowOff>107375</xdr:rowOff>
    </xdr:to>
    <xdr:sp macro="" textlink="">
      <xdr:nvSpPr>
        <xdr:cNvPr id="51" name="Rectangle: Rounded Corners 50">
          <a:extLst>
            <a:ext uri="{FF2B5EF4-FFF2-40B4-BE49-F238E27FC236}">
              <a16:creationId xmlns:a16="http://schemas.microsoft.com/office/drawing/2014/main" id="{916D7B17-6244-4E09-8604-32535B010C9D}"/>
            </a:ext>
          </a:extLst>
        </xdr:cNvPr>
        <xdr:cNvSpPr/>
      </xdr:nvSpPr>
      <xdr:spPr>
        <a:xfrm>
          <a:off x="11657997" y="1001705"/>
          <a:ext cx="3354753" cy="907697"/>
        </a:xfrm>
        <a:prstGeom prst="roundRect">
          <a:avLst/>
        </a:prstGeom>
        <a:solidFill>
          <a:schemeClr val="lt1"/>
        </a:solidFill>
        <a:ln>
          <a:solidFill>
            <a:schemeClr val="dk1">
              <a:alpha val="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94570</xdr:colOff>
      <xdr:row>5</xdr:row>
      <xdr:rowOff>113142</xdr:rowOff>
    </xdr:from>
    <xdr:to>
      <xdr:col>23</xdr:col>
      <xdr:colOff>352684</xdr:colOff>
      <xdr:row>10</xdr:row>
      <xdr:rowOff>106456</xdr:rowOff>
    </xdr:to>
    <xdr:grpSp>
      <xdr:nvGrpSpPr>
        <xdr:cNvPr id="52" name="Group 51">
          <a:extLst>
            <a:ext uri="{FF2B5EF4-FFF2-40B4-BE49-F238E27FC236}">
              <a16:creationId xmlns:a16="http://schemas.microsoft.com/office/drawing/2014/main" id="{B577DD1B-2FD1-4F16-9461-048C1CE6C0FA}"/>
            </a:ext>
          </a:extLst>
        </xdr:cNvPr>
        <xdr:cNvGrpSpPr/>
      </xdr:nvGrpSpPr>
      <xdr:grpSpPr>
        <a:xfrm>
          <a:off x="11034713" y="1020285"/>
          <a:ext cx="2689257" cy="900457"/>
          <a:chOff x="387683" y="1049426"/>
          <a:chExt cx="2691556" cy="929104"/>
        </a:xfrm>
      </xdr:grpSpPr>
      <xdr:sp macro="" textlink="">
        <xdr:nvSpPr>
          <xdr:cNvPr id="53" name="Rectangle: Rounded Corners 52">
            <a:extLst>
              <a:ext uri="{FF2B5EF4-FFF2-40B4-BE49-F238E27FC236}">
                <a16:creationId xmlns:a16="http://schemas.microsoft.com/office/drawing/2014/main" id="{69BE10F1-F2CE-A5AF-6ED8-576EC2E59D33}"/>
              </a:ext>
            </a:extLst>
          </xdr:cNvPr>
          <xdr:cNvSpPr/>
        </xdr:nvSpPr>
        <xdr:spPr>
          <a:xfrm rot="5400000">
            <a:off x="324183" y="1112926"/>
            <a:ext cx="929104" cy="802104"/>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A03469C1-D02E-E940-70C1-56535D2E60FF}"/>
              </a:ext>
            </a:extLst>
          </xdr:cNvPr>
          <xdr:cNvSpPr txBox="1"/>
        </xdr:nvSpPr>
        <xdr:spPr>
          <a:xfrm>
            <a:off x="1662187" y="1102895"/>
            <a:ext cx="1417052" cy="300789"/>
          </a:xfrm>
          <a:prstGeom prst="rect">
            <a:avLst/>
          </a:prstGeom>
          <a:solidFill>
            <a:schemeClr val="bg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accent6">
                    <a:lumMod val="75000"/>
                  </a:schemeClr>
                </a:solidFill>
              </a:rPr>
              <a:t>PROFIT</a:t>
            </a:r>
          </a:p>
        </xdr:txBody>
      </xdr:sp>
      <xdr:sp macro="" textlink="SalesData!K6">
        <xdr:nvSpPr>
          <xdr:cNvPr id="55" name="TextBox 54">
            <a:extLst>
              <a:ext uri="{FF2B5EF4-FFF2-40B4-BE49-F238E27FC236}">
                <a16:creationId xmlns:a16="http://schemas.microsoft.com/office/drawing/2014/main" id="{E1B683E5-9C88-DCB8-E73A-C2760BD06FAC}"/>
              </a:ext>
            </a:extLst>
          </xdr:cNvPr>
          <xdr:cNvSpPr txBox="1"/>
        </xdr:nvSpPr>
        <xdr:spPr>
          <a:xfrm rot="10800000" flipV="1">
            <a:off x="1365324" y="1457157"/>
            <a:ext cx="1546180" cy="482983"/>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BC9768-A3D1-4BFA-ACDA-A149AE84BF67}" type="TxLink">
              <a:rPr lang="en-US" sz="1800" b="1" i="0" u="none" strike="noStrike">
                <a:solidFill>
                  <a:schemeClr val="accent6">
                    <a:lumMod val="75000"/>
                  </a:schemeClr>
                </a:solidFill>
                <a:latin typeface="Aptos Narrow"/>
              </a:rPr>
              <a:pPr/>
              <a:t> Rs. 3,710,654 </a:t>
            </a:fld>
            <a:endParaRPr lang="en-US" sz="1800" b="1">
              <a:solidFill>
                <a:schemeClr val="accent6">
                  <a:lumMod val="75000"/>
                </a:schemeClr>
              </a:solidFill>
            </a:endParaRPr>
          </a:p>
        </xdr:txBody>
      </xdr:sp>
    </xdr:grpSp>
    <xdr:clientData/>
  </xdr:twoCellAnchor>
  <xdr:twoCellAnchor>
    <xdr:from>
      <xdr:col>6</xdr:col>
      <xdr:colOff>244874</xdr:colOff>
      <xdr:row>0</xdr:row>
      <xdr:rowOff>118902</xdr:rowOff>
    </xdr:from>
    <xdr:to>
      <xdr:col>18</xdr:col>
      <xdr:colOff>98336</xdr:colOff>
      <xdr:row>4</xdr:row>
      <xdr:rowOff>57844</xdr:rowOff>
    </xdr:to>
    <xdr:sp macro="" textlink="">
      <xdr:nvSpPr>
        <xdr:cNvPr id="56" name="TextBox 55">
          <a:extLst>
            <a:ext uri="{FF2B5EF4-FFF2-40B4-BE49-F238E27FC236}">
              <a16:creationId xmlns:a16="http://schemas.microsoft.com/office/drawing/2014/main" id="{D7392B72-2B9E-0554-4E86-A11FB396799F}"/>
            </a:ext>
          </a:extLst>
        </xdr:cNvPr>
        <xdr:cNvSpPr txBox="1"/>
      </xdr:nvSpPr>
      <xdr:spPr>
        <a:xfrm>
          <a:off x="3308470" y="118902"/>
          <a:ext cx="7206094" cy="696486"/>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6">
                  <a:lumMod val="75000"/>
                </a:schemeClr>
              </a:solidFill>
              <a:latin typeface="Arial Black" panose="020B0A04020102020204" pitchFamily="34" charset="0"/>
            </a:rPr>
            <a:t>SALES DASHBOARD-2024</a:t>
          </a:r>
        </a:p>
      </xdr:txBody>
    </xdr:sp>
    <xdr:clientData/>
  </xdr:twoCellAnchor>
  <xdr:twoCellAnchor editAs="oneCell">
    <xdr:from>
      <xdr:col>6</xdr:col>
      <xdr:colOff>578464</xdr:colOff>
      <xdr:row>6</xdr:row>
      <xdr:rowOff>43805</xdr:rowOff>
    </xdr:from>
    <xdr:to>
      <xdr:col>8</xdr:col>
      <xdr:colOff>175229</xdr:colOff>
      <xdr:row>10</xdr:row>
      <xdr:rowOff>108278</xdr:rowOff>
    </xdr:to>
    <xdr:pic>
      <xdr:nvPicPr>
        <xdr:cNvPr id="60" name="Graphic 59" descr="Coins">
          <a:extLst>
            <a:ext uri="{FF2B5EF4-FFF2-40B4-BE49-F238E27FC236}">
              <a16:creationId xmlns:a16="http://schemas.microsoft.com/office/drawing/2014/main" id="{A345E8FF-C40F-19D9-7640-2AF33D2721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44690" y="1122107"/>
          <a:ext cx="818840" cy="783341"/>
        </a:xfrm>
        <a:prstGeom prst="rect">
          <a:avLst/>
        </a:prstGeom>
      </xdr:spPr>
    </xdr:pic>
    <xdr:clientData/>
  </xdr:twoCellAnchor>
  <xdr:twoCellAnchor editAs="oneCell">
    <xdr:from>
      <xdr:col>19</xdr:col>
      <xdr:colOff>155754</xdr:colOff>
      <xdr:row>6</xdr:row>
      <xdr:rowOff>47924</xdr:rowOff>
    </xdr:from>
    <xdr:to>
      <xdr:col>20</xdr:col>
      <xdr:colOff>184796</xdr:colOff>
      <xdr:row>9</xdr:row>
      <xdr:rowOff>148853</xdr:rowOff>
    </xdr:to>
    <xdr:pic>
      <xdr:nvPicPr>
        <xdr:cNvPr id="62" name="Graphic 61" descr="Upward trend">
          <a:extLst>
            <a:ext uri="{FF2B5EF4-FFF2-40B4-BE49-F238E27FC236}">
              <a16:creationId xmlns:a16="http://schemas.microsoft.com/office/drawing/2014/main" id="{4E17E524-C463-E483-C639-1648CDCFE9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765471" y="1126226"/>
          <a:ext cx="640080" cy="640080"/>
        </a:xfrm>
        <a:prstGeom prst="rect">
          <a:avLst/>
        </a:prstGeom>
      </xdr:spPr>
    </xdr:pic>
    <xdr:clientData/>
  </xdr:twoCellAnchor>
  <xdr:twoCellAnchor editAs="oneCell">
    <xdr:from>
      <xdr:col>1</xdr:col>
      <xdr:colOff>18208</xdr:colOff>
      <xdr:row>6</xdr:row>
      <xdr:rowOff>138018</xdr:rowOff>
    </xdr:from>
    <xdr:to>
      <xdr:col>1</xdr:col>
      <xdr:colOff>566848</xdr:colOff>
      <xdr:row>9</xdr:row>
      <xdr:rowOff>147507</xdr:rowOff>
    </xdr:to>
    <xdr:pic>
      <xdr:nvPicPr>
        <xdr:cNvPr id="64" name="Graphic 63" descr="Rupee">
          <a:extLst>
            <a:ext uri="{FF2B5EF4-FFF2-40B4-BE49-F238E27FC236}">
              <a16:creationId xmlns:a16="http://schemas.microsoft.com/office/drawing/2014/main" id="{B27DCB23-522C-B005-33E6-F4EEAD75A0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208" y="1226589"/>
          <a:ext cx="548640" cy="553775"/>
        </a:xfrm>
        <a:prstGeom prst="rect">
          <a:avLst/>
        </a:prstGeom>
      </xdr:spPr>
    </xdr:pic>
    <xdr:clientData/>
  </xdr:twoCellAnchor>
  <xdr:twoCellAnchor editAs="oneCell">
    <xdr:from>
      <xdr:col>13</xdr:col>
      <xdr:colOff>83868</xdr:colOff>
      <xdr:row>5</xdr:row>
      <xdr:rowOff>167736</xdr:rowOff>
    </xdr:from>
    <xdr:to>
      <xdr:col>14</xdr:col>
      <xdr:colOff>263584</xdr:colOff>
      <xdr:row>10</xdr:row>
      <xdr:rowOff>59905</xdr:rowOff>
    </xdr:to>
    <xdr:pic>
      <xdr:nvPicPr>
        <xdr:cNvPr id="67" name="Graphic 66" descr="Gold bars">
          <a:extLst>
            <a:ext uri="{FF2B5EF4-FFF2-40B4-BE49-F238E27FC236}">
              <a16:creationId xmlns:a16="http://schemas.microsoft.com/office/drawing/2014/main" id="{FE1897C5-52FE-E6C7-36BA-B888A88AC9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27359" y="1066321"/>
          <a:ext cx="790754" cy="790754"/>
        </a:xfrm>
        <a:prstGeom prst="rect">
          <a:avLst/>
        </a:prstGeom>
      </xdr:spPr>
    </xdr:pic>
    <xdr:clientData/>
  </xdr:twoCellAnchor>
  <xdr:twoCellAnchor editAs="oneCell">
    <xdr:from>
      <xdr:col>0</xdr:col>
      <xdr:colOff>0</xdr:colOff>
      <xdr:row>11</xdr:row>
      <xdr:rowOff>126825</xdr:rowOff>
    </xdr:from>
    <xdr:to>
      <xdr:col>4</xdr:col>
      <xdr:colOff>393700</xdr:colOff>
      <xdr:row>28</xdr:row>
      <xdr:rowOff>127000</xdr:rowOff>
    </xdr:to>
    <mc:AlternateContent xmlns:mc="http://schemas.openxmlformats.org/markup-compatibility/2006" xmlns:a14="http://schemas.microsoft.com/office/drawing/2010/main">
      <mc:Choice Requires="a14">
        <xdr:graphicFrame macro="">
          <xdr:nvGraphicFramePr>
            <xdr:cNvPr id="68" name="Sales Person 1">
              <a:extLst>
                <a:ext uri="{FF2B5EF4-FFF2-40B4-BE49-F238E27FC236}">
                  <a16:creationId xmlns:a16="http://schemas.microsoft.com/office/drawing/2014/main" id="{2035479C-2503-4087-BECE-9038872D7BCA}"/>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2122539"/>
              <a:ext cx="1809235" cy="3120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563113</xdr:colOff>
      <xdr:row>5</xdr:row>
      <xdr:rowOff>167735</xdr:rowOff>
    </xdr:from>
    <xdr:to>
      <xdr:col>27</xdr:col>
      <xdr:colOff>285750</xdr:colOff>
      <xdr:row>9</xdr:row>
      <xdr:rowOff>143772</xdr:rowOff>
    </xdr:to>
    <mc:AlternateContent xmlns:mc="http://schemas.openxmlformats.org/markup-compatibility/2006" xmlns:a14="http://schemas.microsoft.com/office/drawing/2010/main">
      <mc:Choice Requires="a14">
        <xdr:graphicFrame macro="">
          <xdr:nvGraphicFramePr>
            <xdr:cNvPr id="70" name="Region 1">
              <a:extLst>
                <a:ext uri="{FF2B5EF4-FFF2-40B4-BE49-F238E27FC236}">
                  <a16:creationId xmlns:a16="http://schemas.microsoft.com/office/drawing/2014/main" id="{2677E545-C2FD-47AC-953E-A93207B3C0E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627187" y="1108476"/>
              <a:ext cx="1557082" cy="728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29</xdr:row>
      <xdr:rowOff>6581</xdr:rowOff>
    </xdr:from>
    <xdr:to>
      <xdr:col>4</xdr:col>
      <xdr:colOff>381000</xdr:colOff>
      <xdr:row>42</xdr:row>
      <xdr:rowOff>114301</xdr:rowOff>
    </xdr:to>
    <mc:AlternateContent xmlns:mc="http://schemas.openxmlformats.org/markup-compatibility/2006" xmlns:a14="http://schemas.microsoft.com/office/drawing/2010/main">
      <mc:Choice Requires="a14">
        <xdr:graphicFrame macro="">
          <xdr:nvGraphicFramePr>
            <xdr:cNvPr id="71" name="Product 1">
              <a:extLst>
                <a:ext uri="{FF2B5EF4-FFF2-40B4-BE49-F238E27FC236}">
                  <a16:creationId xmlns:a16="http://schemas.microsoft.com/office/drawing/2014/main" id="{B2BEF1D2-E280-4157-BA6B-9B81E8309A7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700" y="5462877"/>
              <a:ext cx="2202744" cy="2553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515993</xdr:colOff>
      <xdr:row>11</xdr:row>
      <xdr:rowOff>175336</xdr:rowOff>
    </xdr:from>
    <xdr:to>
      <xdr:col>15</xdr:col>
      <xdr:colOff>611842</xdr:colOff>
      <xdr:row>35</xdr:row>
      <xdr:rowOff>1464</xdr:rowOff>
    </xdr:to>
    <xdr:sp macro="" textlink="">
      <xdr:nvSpPr>
        <xdr:cNvPr id="72" name="Rectangle: Rounded Corners 71">
          <a:extLst>
            <a:ext uri="{FF2B5EF4-FFF2-40B4-BE49-F238E27FC236}">
              <a16:creationId xmlns:a16="http://schemas.microsoft.com/office/drawing/2014/main" id="{004D994E-C7E7-CE23-91D9-154404D101A4}"/>
            </a:ext>
          </a:extLst>
        </xdr:cNvPr>
        <xdr:cNvSpPr/>
      </xdr:nvSpPr>
      <xdr:spPr>
        <a:xfrm>
          <a:off x="2352957" y="2171050"/>
          <a:ext cx="6831385" cy="4180414"/>
        </a:xfrm>
        <a:prstGeom prst="roundRect">
          <a:avLst/>
        </a:prstGeom>
        <a:solidFill>
          <a:sysClr val="window" lastClr="FFFFFF"/>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108256</xdr:colOff>
      <xdr:row>12</xdr:row>
      <xdr:rowOff>132432</xdr:rowOff>
    </xdr:from>
    <xdr:to>
      <xdr:col>9</xdr:col>
      <xdr:colOff>409068</xdr:colOff>
      <xdr:row>15</xdr:row>
      <xdr:rowOff>12620</xdr:rowOff>
    </xdr:to>
    <xdr:sp macro="" textlink="">
      <xdr:nvSpPr>
        <xdr:cNvPr id="73" name="TextBox 72">
          <a:extLst>
            <a:ext uri="{FF2B5EF4-FFF2-40B4-BE49-F238E27FC236}">
              <a16:creationId xmlns:a16="http://schemas.microsoft.com/office/drawing/2014/main" id="{75AA2233-06D7-B98F-AC81-CA67774FD7DB}"/>
            </a:ext>
          </a:extLst>
        </xdr:cNvPr>
        <xdr:cNvSpPr txBox="1"/>
      </xdr:nvSpPr>
      <xdr:spPr>
        <a:xfrm>
          <a:off x="2557542" y="2309575"/>
          <a:ext cx="2750097" cy="424474"/>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rPr>
            <a:t>Units Sold By Product</a:t>
          </a:r>
        </a:p>
      </xdr:txBody>
    </xdr:sp>
    <xdr:clientData/>
  </xdr:twoCellAnchor>
  <xdr:twoCellAnchor>
    <xdr:from>
      <xdr:col>5</xdr:col>
      <xdr:colOff>137330</xdr:colOff>
      <xdr:row>15</xdr:row>
      <xdr:rowOff>31242</xdr:rowOff>
    </xdr:from>
    <xdr:to>
      <xdr:col>15</xdr:col>
      <xdr:colOff>137332</xdr:colOff>
      <xdr:row>33</xdr:row>
      <xdr:rowOff>139851</xdr:rowOff>
    </xdr:to>
    <xdr:graphicFrame macro="">
      <xdr:nvGraphicFramePr>
        <xdr:cNvPr id="74" name="Chart 73">
          <a:extLst>
            <a:ext uri="{FF2B5EF4-FFF2-40B4-BE49-F238E27FC236}">
              <a16:creationId xmlns:a16="http://schemas.microsoft.com/office/drawing/2014/main" id="{82A43A97-8AEA-4DBD-9868-FE0FC5AC3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590234</xdr:colOff>
      <xdr:row>11</xdr:row>
      <xdr:rowOff>82643</xdr:rowOff>
    </xdr:from>
    <xdr:to>
      <xdr:col>27</xdr:col>
      <xdr:colOff>74602</xdr:colOff>
      <xdr:row>34</xdr:row>
      <xdr:rowOff>91738</xdr:rowOff>
    </xdr:to>
    <xdr:sp macro="" textlink="">
      <xdr:nvSpPr>
        <xdr:cNvPr id="2" name="Rectangle: Rounded Corners 1">
          <a:extLst>
            <a:ext uri="{FF2B5EF4-FFF2-40B4-BE49-F238E27FC236}">
              <a16:creationId xmlns:a16="http://schemas.microsoft.com/office/drawing/2014/main" id="{E9A4AF75-090A-4C40-91B3-E94676A4F7B9}"/>
            </a:ext>
          </a:extLst>
        </xdr:cNvPr>
        <xdr:cNvSpPr/>
      </xdr:nvSpPr>
      <xdr:spPr>
        <a:xfrm>
          <a:off x="9150975" y="2152273"/>
          <a:ext cx="6822146" cy="4336502"/>
        </a:xfrm>
        <a:prstGeom prst="roundRect">
          <a:avLst/>
        </a:prstGeom>
        <a:solidFill>
          <a:sysClr val="window" lastClr="FFFFFF"/>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t>
          </a:r>
        </a:p>
      </xdr:txBody>
    </xdr:sp>
    <xdr:clientData/>
  </xdr:twoCellAnchor>
  <xdr:twoCellAnchor>
    <xdr:from>
      <xdr:col>4</xdr:col>
      <xdr:colOff>587184</xdr:colOff>
      <xdr:row>35</xdr:row>
      <xdr:rowOff>8152</xdr:rowOff>
    </xdr:from>
    <xdr:to>
      <xdr:col>16</xdr:col>
      <xdr:colOff>70712</xdr:colOff>
      <xdr:row>58</xdr:row>
      <xdr:rowOff>17245</xdr:rowOff>
    </xdr:to>
    <xdr:sp macro="" textlink="">
      <xdr:nvSpPr>
        <xdr:cNvPr id="5" name="Rectangle: Rounded Corners 4">
          <a:extLst>
            <a:ext uri="{FF2B5EF4-FFF2-40B4-BE49-F238E27FC236}">
              <a16:creationId xmlns:a16="http://schemas.microsoft.com/office/drawing/2014/main" id="{A01CD995-6C20-4278-AD6D-B990941DC162}"/>
            </a:ext>
          </a:extLst>
        </xdr:cNvPr>
        <xdr:cNvSpPr/>
      </xdr:nvSpPr>
      <xdr:spPr>
        <a:xfrm>
          <a:off x="2421628" y="6593337"/>
          <a:ext cx="6821306" cy="4336501"/>
        </a:xfrm>
        <a:prstGeom prst="roundRect">
          <a:avLst/>
        </a:prstGeom>
        <a:solidFill>
          <a:sysClr val="window" lastClr="FFFFFF"/>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44487</xdr:colOff>
      <xdr:row>34</xdr:row>
      <xdr:rowOff>109033</xdr:rowOff>
    </xdr:from>
    <xdr:to>
      <xdr:col>27</xdr:col>
      <xdr:colOff>144475</xdr:colOff>
      <xdr:row>57</xdr:row>
      <xdr:rowOff>176743</xdr:rowOff>
    </xdr:to>
    <xdr:sp macro="" textlink="">
      <xdr:nvSpPr>
        <xdr:cNvPr id="6" name="Rectangle: Rounded Corners 5">
          <a:extLst>
            <a:ext uri="{FF2B5EF4-FFF2-40B4-BE49-F238E27FC236}">
              <a16:creationId xmlns:a16="http://schemas.microsoft.com/office/drawing/2014/main" id="{14617A05-476F-4DFA-8DC7-1CB4F9A98171}"/>
            </a:ext>
          </a:extLst>
        </xdr:cNvPr>
        <xdr:cNvSpPr/>
      </xdr:nvSpPr>
      <xdr:spPr>
        <a:xfrm>
          <a:off x="9229308" y="6277604"/>
          <a:ext cx="6835524" cy="4240568"/>
        </a:xfrm>
        <a:prstGeom prst="roundRect">
          <a:avLst/>
        </a:prstGeom>
        <a:solidFill>
          <a:sysClr val="window" lastClr="FFFFFF"/>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187771</xdr:colOff>
      <xdr:row>12</xdr:row>
      <xdr:rowOff>157596</xdr:rowOff>
    </xdr:from>
    <xdr:to>
      <xdr:col>21</xdr:col>
      <xdr:colOff>47855</xdr:colOff>
      <xdr:row>14</xdr:row>
      <xdr:rowOff>157596</xdr:rowOff>
    </xdr:to>
    <xdr:sp macro="" textlink="">
      <xdr:nvSpPr>
        <xdr:cNvPr id="7" name="TextBox 6">
          <a:extLst>
            <a:ext uri="{FF2B5EF4-FFF2-40B4-BE49-F238E27FC236}">
              <a16:creationId xmlns:a16="http://schemas.microsoft.com/office/drawing/2014/main" id="{AC038995-0935-0903-A4C5-659603903FD9}"/>
            </a:ext>
          </a:extLst>
        </xdr:cNvPr>
        <xdr:cNvSpPr txBox="1"/>
      </xdr:nvSpPr>
      <xdr:spPr>
        <a:xfrm>
          <a:off x="9372592" y="2334739"/>
          <a:ext cx="2921692" cy="362857"/>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rPr>
            <a:t>Total Sales By Region</a:t>
          </a:r>
        </a:p>
      </xdr:txBody>
    </xdr:sp>
    <xdr:clientData/>
  </xdr:twoCellAnchor>
  <xdr:twoCellAnchor>
    <xdr:from>
      <xdr:col>16</xdr:col>
      <xdr:colOff>254653</xdr:colOff>
      <xdr:row>15</xdr:row>
      <xdr:rowOff>78319</xdr:rowOff>
    </xdr:from>
    <xdr:to>
      <xdr:col>26</xdr:col>
      <xdr:colOff>125499</xdr:colOff>
      <xdr:row>33</xdr:row>
      <xdr:rowOff>99845</xdr:rowOff>
    </xdr:to>
    <xdr:graphicFrame macro="">
      <xdr:nvGraphicFramePr>
        <xdr:cNvPr id="8" name="Chart 7">
          <a:extLst>
            <a:ext uri="{FF2B5EF4-FFF2-40B4-BE49-F238E27FC236}">
              <a16:creationId xmlns:a16="http://schemas.microsoft.com/office/drawing/2014/main" id="{AD748455-B5BC-4E65-B898-6C381D897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226611</xdr:colOff>
      <xdr:row>36</xdr:row>
      <xdr:rowOff>18664</xdr:rowOff>
    </xdr:from>
    <xdr:to>
      <xdr:col>9</xdr:col>
      <xdr:colOff>167996</xdr:colOff>
      <xdr:row>38</xdr:row>
      <xdr:rowOff>18664</xdr:rowOff>
    </xdr:to>
    <xdr:sp macro="" textlink="">
      <xdr:nvSpPr>
        <xdr:cNvPr id="9" name="TextBox 8">
          <a:extLst>
            <a:ext uri="{FF2B5EF4-FFF2-40B4-BE49-F238E27FC236}">
              <a16:creationId xmlns:a16="http://schemas.microsoft.com/office/drawing/2014/main" id="{857CA746-D7C3-F572-3D59-BE08591DBBAB}"/>
            </a:ext>
          </a:extLst>
        </xdr:cNvPr>
        <xdr:cNvSpPr txBox="1"/>
      </xdr:nvSpPr>
      <xdr:spPr>
        <a:xfrm>
          <a:off x="2675897" y="6550093"/>
          <a:ext cx="2390670" cy="362857"/>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rPr>
            <a:t>Total Sales By Product</a:t>
          </a:r>
        </a:p>
      </xdr:txBody>
    </xdr:sp>
    <xdr:clientData/>
  </xdr:twoCellAnchor>
  <xdr:twoCellAnchor>
    <xdr:from>
      <xdr:col>16</xdr:col>
      <xdr:colOff>255047</xdr:colOff>
      <xdr:row>35</xdr:row>
      <xdr:rowOff>162936</xdr:rowOff>
    </xdr:from>
    <xdr:to>
      <xdr:col>21</xdr:col>
      <xdr:colOff>157353</xdr:colOff>
      <xdr:row>37</xdr:row>
      <xdr:rowOff>133629</xdr:rowOff>
    </xdr:to>
    <xdr:sp macro="" textlink="">
      <xdr:nvSpPr>
        <xdr:cNvPr id="12" name="TextBox 11">
          <a:extLst>
            <a:ext uri="{FF2B5EF4-FFF2-40B4-BE49-F238E27FC236}">
              <a16:creationId xmlns:a16="http://schemas.microsoft.com/office/drawing/2014/main" id="{C1EF60C0-29E9-3D78-01E4-2797821CA4BD}"/>
            </a:ext>
          </a:extLst>
        </xdr:cNvPr>
        <xdr:cNvSpPr txBox="1"/>
      </xdr:nvSpPr>
      <xdr:spPr>
        <a:xfrm>
          <a:off x="9439868" y="6512936"/>
          <a:ext cx="2963914" cy="333550"/>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rPr>
            <a:t>Total Sales By</a:t>
          </a:r>
          <a:r>
            <a:rPr lang="en-US" sz="1800" b="1" baseline="0">
              <a:solidFill>
                <a:schemeClr val="accent6">
                  <a:lumMod val="75000"/>
                </a:schemeClr>
              </a:solidFill>
            </a:rPr>
            <a:t> Sales Person</a:t>
          </a:r>
          <a:endParaRPr lang="en-US" sz="1800" b="1">
            <a:solidFill>
              <a:schemeClr val="accent6">
                <a:lumMod val="75000"/>
              </a:schemeClr>
            </a:solidFill>
          </a:endParaRPr>
        </a:p>
      </xdr:txBody>
    </xdr:sp>
    <xdr:clientData/>
  </xdr:twoCellAnchor>
  <xdr:twoCellAnchor>
    <xdr:from>
      <xdr:col>5</xdr:col>
      <xdr:colOff>136086</xdr:colOff>
      <xdr:row>38</xdr:row>
      <xdr:rowOff>94209</xdr:rowOff>
    </xdr:from>
    <xdr:to>
      <xdr:col>15</xdr:col>
      <xdr:colOff>162413</xdr:colOff>
      <xdr:row>56</xdr:row>
      <xdr:rowOff>100832</xdr:rowOff>
    </xdr:to>
    <xdr:graphicFrame macro="">
      <xdr:nvGraphicFramePr>
        <xdr:cNvPr id="15" name="Chart 14">
          <a:extLst>
            <a:ext uri="{FF2B5EF4-FFF2-40B4-BE49-F238E27FC236}">
              <a16:creationId xmlns:a16="http://schemas.microsoft.com/office/drawing/2014/main" id="{AA82B595-A7C4-415B-AA25-ED604F066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263596</xdr:colOff>
      <xdr:row>37</xdr:row>
      <xdr:rowOff>176718</xdr:rowOff>
    </xdr:from>
    <xdr:to>
      <xdr:col>26</xdr:col>
      <xdr:colOff>224517</xdr:colOff>
      <xdr:row>56</xdr:row>
      <xdr:rowOff>14827</xdr:rowOff>
    </xdr:to>
    <xdr:graphicFrame macro="">
      <xdr:nvGraphicFramePr>
        <xdr:cNvPr id="17" name="Chart 16">
          <a:extLst>
            <a:ext uri="{FF2B5EF4-FFF2-40B4-BE49-F238E27FC236}">
              <a16:creationId xmlns:a16="http://schemas.microsoft.com/office/drawing/2014/main" id="{9E1A8183-D02E-4D4D-A0E3-8D555EFDF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aneeth2593@Gmail.com" refreshedDate="45905.485697453703" createdVersion="8" refreshedVersion="8" minRefreshableVersion="3" recordCount="50" xr:uid="{F2005E19-6403-4034-BB76-1D24AAB39D6F}">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ntainsDate="1" containsMixedTypes="1" minDate="2021-02-20T00:00:00" maxDate="2021-02-21T00:00:00" count="11">
        <d v="2021-02-20T00:00:00"/>
        <s v="Grace"/>
        <s v="Ella"/>
        <s v="Cameron"/>
        <s v="Megan"/>
        <s v="Carolyn"/>
        <s v="Virginia"/>
        <s v="Connor"/>
        <s v="Anna"/>
        <s v="Nicholas"/>
        <s v="Andrew"/>
      </sharedItems>
    </cacheField>
    <cacheField name="Region" numFmtId="0">
      <sharedItems containsDate="1" containsMixedTypes="1" minDate="2021-02-21T00:00:00" maxDate="2021-02-22T00:00:00" count="5">
        <d v="2021-02-21T00:00:00"/>
        <s v="East"/>
        <s v="South"/>
        <s v="North"/>
        <s v="West"/>
      </sharedItems>
    </cacheField>
    <cacheField name="Product" numFmtId="0">
      <sharedItems containsDate="1" containsMixedTypes="1" minDate="2021-02-22T00:00:00" maxDate="2021-02-23T00:00:00" count="8">
        <d v="2021-02-22T00:00:00"/>
        <s v="Blender"/>
        <s v="Action Figure"/>
        <s v="Novel"/>
        <s v="Sneakers"/>
        <s v="Tent"/>
        <s v="Moisturizer"/>
        <s v="Smartphone"/>
      </sharedItems>
    </cacheField>
    <cacheField name="Units Sold" numFmtId="0">
      <sharedItems containsSemiMixedTypes="0" containsDate="1" containsString="0" containsMixedTypes="1" minDate="2021-02-23T00:00:00" maxDate="1900-01-06T17:39:04" count="40">
        <d v="2021-02-23T00:00:00"/>
        <n v="128"/>
        <n v="136"/>
        <n v="91"/>
        <n v="110"/>
        <n v="51"/>
        <n v="78"/>
        <n v="146"/>
        <n v="101"/>
        <n v="52"/>
        <n v="55"/>
        <n v="137"/>
        <n v="96"/>
        <n v="76"/>
        <n v="145"/>
        <n v="83"/>
        <n v="108"/>
        <n v="144"/>
        <n v="92"/>
        <n v="71"/>
        <n v="103"/>
        <n v="93"/>
        <n v="143"/>
        <n v="99"/>
        <n v="120"/>
        <n v="66"/>
        <n v="88"/>
        <n v="127"/>
        <n v="67"/>
        <n v="149"/>
        <n v="104"/>
        <n v="57"/>
        <n v="90"/>
        <n v="69"/>
        <n v="59"/>
        <n v="109"/>
        <n v="61"/>
        <n v="130"/>
        <n v="60"/>
        <n v="73"/>
      </sharedItems>
    </cacheField>
    <cacheField name="Unit Price" numFmtId="0">
      <sharedItems containsSemiMixedTypes="0" containsDate="1" containsString="0" containsMixedTypes="1" minDate="2021-02-24T00:00:00" maxDate="1900-01-05T19:16:04"/>
    </cacheField>
    <cacheField name="Cost of Goods" numFmtId="0">
      <sharedItems containsSemiMixedTypes="0" containsDate="1" containsString="0" containsMixedTypes="1" minDate="2021-02-25T00:00:00" maxDate="1900-01-03T19:08:04"/>
    </cacheField>
    <cacheField name="Total Sales" numFmtId="0">
      <sharedItems containsSemiMixedTypes="0" containsDate="1" containsString="0" containsMixedTypes="1" minDate="2021-02-26T00:00:00" maxDate="1900-01-04T00:52:05" count="47">
        <d v="2021-02-26T00:00:00"/>
        <n v="448000"/>
        <n v="163200"/>
        <n v="91000"/>
        <n v="440000"/>
        <n v="61200"/>
        <n v="78000"/>
        <n v="876000"/>
        <n v="60600"/>
        <n v="312000"/>
        <n v="66000"/>
        <n v="137000"/>
        <n v="336000"/>
        <n v="208000"/>
        <n v="266000"/>
        <n v="580000"/>
        <n v="49800"/>
        <n v="1080000"/>
        <n v="576000"/>
        <n v="55200"/>
        <n v="426000"/>
        <n v="61800"/>
        <n v="55000"/>
        <n v="372000"/>
        <n v="85800"/>
        <n v="500500"/>
        <n v="59400"/>
        <n v="120000"/>
        <n v="231000"/>
        <n v="105600"/>
        <n v="1270000"/>
        <n v="268000"/>
        <n v="80400"/>
        <n v="149000"/>
        <n v="62400"/>
        <n v="34200"/>
        <n v="54000"/>
        <n v="40200"/>
        <n v="508000"/>
        <n v="108000"/>
        <n v="468000"/>
        <n v="69000"/>
        <n v="70800"/>
        <n v="65400"/>
        <n v="244000"/>
        <n v="210000"/>
        <n v="438000"/>
      </sharedItems>
    </cacheField>
    <cacheField name="Profit" numFmtId="0">
      <sharedItems containsSemiMixedTypes="0" containsDate="1" containsString="0" containsMixedTypes="1" minDate="2021-02-27T00:00:00" maxDate="1900-01-02T17:24:05"/>
    </cacheField>
  </cacheFields>
  <extLst>
    <ext xmlns:x14="http://schemas.microsoft.com/office/spreadsheetml/2009/9/main" uri="{725AE2AE-9491-48be-B2B4-4EB974FC3084}">
      <x14:pivotCacheDefinition pivotCacheId="556237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x v="0"/>
    <d v="2021-02-24T00:00:00"/>
    <d v="2021-02-25T00:00:00"/>
    <x v="0"/>
    <d v="2021-02-27T00:00:00"/>
  </r>
  <r>
    <d v="2021-09-07T00:00:00"/>
    <x v="1"/>
    <x v="1"/>
    <x v="1"/>
    <x v="1"/>
    <n v="3500"/>
    <n v="2500"/>
    <x v="1"/>
    <n v="128000"/>
  </r>
  <r>
    <d v="2021-02-03T00:00:00"/>
    <x v="2"/>
    <x v="2"/>
    <x v="2"/>
    <x v="2"/>
    <n v="1200"/>
    <n v="800"/>
    <x v="2"/>
    <n v="54400"/>
  </r>
  <r>
    <d v="2020-09-11T00:00:00"/>
    <x v="3"/>
    <x v="3"/>
    <x v="3"/>
    <x v="3"/>
    <n v="1000"/>
    <n v="700"/>
    <x v="3"/>
    <n v="27300"/>
  </r>
  <r>
    <d v="2021-09-23T00:00:00"/>
    <x v="4"/>
    <x v="4"/>
    <x v="4"/>
    <x v="4"/>
    <n v="4000"/>
    <n v="3000"/>
    <x v="4"/>
    <n v="110000"/>
  </r>
  <r>
    <d v="2020-10-01T00:00:00"/>
    <x v="5"/>
    <x v="1"/>
    <x v="2"/>
    <x v="5"/>
    <n v="1200"/>
    <n v="800"/>
    <x v="5"/>
    <n v="20400"/>
  </r>
  <r>
    <d v="2021-08-05T00:00:00"/>
    <x v="6"/>
    <x v="3"/>
    <x v="3"/>
    <x v="6"/>
    <n v="1000"/>
    <n v="700"/>
    <x v="6"/>
    <n v="23400"/>
  </r>
  <r>
    <d v="2020-11-06T00:00:00"/>
    <x v="7"/>
    <x v="2"/>
    <x v="5"/>
    <x v="7"/>
    <n v="6000"/>
    <n v="4000"/>
    <x v="7"/>
    <n v="292000"/>
  </r>
  <r>
    <d v="2021-01-27T00:00:00"/>
    <x v="8"/>
    <x v="4"/>
    <x v="6"/>
    <x v="8"/>
    <n v="600"/>
    <n v="400"/>
    <x v="8"/>
    <n v="20200"/>
  </r>
  <r>
    <d v="2021-09-03T00:00:00"/>
    <x v="9"/>
    <x v="2"/>
    <x v="5"/>
    <x v="9"/>
    <n v="6000"/>
    <n v="4000"/>
    <x v="9"/>
    <n v="104000"/>
  </r>
  <r>
    <d v="2021-09-30T00:00:00"/>
    <x v="9"/>
    <x v="1"/>
    <x v="2"/>
    <x v="10"/>
    <n v="1200"/>
    <n v="800"/>
    <x v="10"/>
    <n v="22000"/>
  </r>
  <r>
    <d v="2020-09-10T00:00:00"/>
    <x v="9"/>
    <x v="2"/>
    <x v="3"/>
    <x v="11"/>
    <n v="1000"/>
    <n v="700"/>
    <x v="11"/>
    <n v="41100"/>
  </r>
  <r>
    <d v="2021-07-27T00:00:00"/>
    <x v="7"/>
    <x v="2"/>
    <x v="1"/>
    <x v="12"/>
    <n v="3500"/>
    <n v="2500"/>
    <x v="12"/>
    <n v="96000"/>
  </r>
  <r>
    <d v="2020-10-09T00:00:00"/>
    <x v="8"/>
    <x v="1"/>
    <x v="4"/>
    <x v="9"/>
    <n v="4000"/>
    <n v="3000"/>
    <x v="13"/>
    <n v="52000"/>
  </r>
  <r>
    <d v="2021-04-06T00:00:00"/>
    <x v="3"/>
    <x v="4"/>
    <x v="1"/>
    <x v="13"/>
    <n v="3500"/>
    <n v="2500"/>
    <x v="14"/>
    <n v="76000"/>
  </r>
  <r>
    <d v="2021-06-15T00:00:00"/>
    <x v="1"/>
    <x v="3"/>
    <x v="4"/>
    <x v="14"/>
    <n v="4000"/>
    <n v="3000"/>
    <x v="15"/>
    <n v="145000"/>
  </r>
  <r>
    <d v="2020-09-09T00:00:00"/>
    <x v="10"/>
    <x v="2"/>
    <x v="6"/>
    <x v="15"/>
    <n v="600"/>
    <n v="400"/>
    <x v="16"/>
    <n v="16600"/>
  </r>
  <r>
    <d v="2021-08-13T00:00:00"/>
    <x v="4"/>
    <x v="2"/>
    <x v="3"/>
    <x v="3"/>
    <n v="1000"/>
    <n v="700"/>
    <x v="3"/>
    <n v="27300"/>
  </r>
  <r>
    <d v="2020-08-27T00:00:00"/>
    <x v="5"/>
    <x v="4"/>
    <x v="7"/>
    <x v="16"/>
    <n v="10000"/>
    <n v="7000"/>
    <x v="17"/>
    <n v="324000"/>
  </r>
  <r>
    <d v="2021-04-07T00:00:00"/>
    <x v="2"/>
    <x v="3"/>
    <x v="4"/>
    <x v="17"/>
    <n v="4000"/>
    <n v="3000"/>
    <x v="18"/>
    <n v="144000"/>
  </r>
  <r>
    <d v="2020-06-08T00:00:00"/>
    <x v="4"/>
    <x v="2"/>
    <x v="6"/>
    <x v="18"/>
    <n v="600"/>
    <n v="400"/>
    <x v="19"/>
    <n v="18400"/>
  </r>
  <r>
    <d v="2021-12-21T00:00:00"/>
    <x v="7"/>
    <x v="4"/>
    <x v="5"/>
    <x v="19"/>
    <n v="6000"/>
    <n v="4000"/>
    <x v="20"/>
    <n v="142000"/>
  </r>
  <r>
    <d v="2021-08-10T00:00:00"/>
    <x v="10"/>
    <x v="1"/>
    <x v="6"/>
    <x v="20"/>
    <n v="600"/>
    <n v="400"/>
    <x v="21"/>
    <n v="20600"/>
  </r>
  <r>
    <d v="2021-12-02T00:00:00"/>
    <x v="9"/>
    <x v="3"/>
    <x v="3"/>
    <x v="10"/>
    <n v="1000"/>
    <n v="700"/>
    <x v="22"/>
    <n v="16500"/>
  </r>
  <r>
    <d v="2021-08-30T00:00:00"/>
    <x v="5"/>
    <x v="1"/>
    <x v="4"/>
    <x v="21"/>
    <n v="4000"/>
    <n v="3000"/>
    <x v="23"/>
    <n v="93000"/>
  </r>
  <r>
    <d v="2020-05-20T00:00:00"/>
    <x v="2"/>
    <x v="2"/>
    <x v="6"/>
    <x v="22"/>
    <n v="600"/>
    <n v="400"/>
    <x v="24"/>
    <n v="28600"/>
  </r>
  <r>
    <d v="2021-09-13T00:00:00"/>
    <x v="6"/>
    <x v="4"/>
    <x v="1"/>
    <x v="22"/>
    <n v="3500"/>
    <n v="2500"/>
    <x v="25"/>
    <n v="143000"/>
  </r>
  <r>
    <d v="2021-10-27T00:00:00"/>
    <x v="8"/>
    <x v="3"/>
    <x v="6"/>
    <x v="23"/>
    <n v="600"/>
    <n v="400"/>
    <x v="26"/>
    <n v="19800"/>
  </r>
  <r>
    <d v="2020-12-22T00:00:00"/>
    <x v="3"/>
    <x v="4"/>
    <x v="3"/>
    <x v="24"/>
    <n v="1000"/>
    <n v="700"/>
    <x v="27"/>
    <n v="36000"/>
  </r>
  <r>
    <d v="2021-07-28T00:00:00"/>
    <x v="1"/>
    <x v="2"/>
    <x v="1"/>
    <x v="25"/>
    <n v="3500"/>
    <n v="2500"/>
    <x v="28"/>
    <n v="66000"/>
  </r>
  <r>
    <d v="2020-09-29T00:00:00"/>
    <x v="8"/>
    <x v="3"/>
    <x v="2"/>
    <x v="26"/>
    <n v="1200"/>
    <n v="800"/>
    <x v="29"/>
    <n v="35200"/>
  </r>
  <r>
    <d v="2020-10-22T00:00:00"/>
    <x v="3"/>
    <x v="1"/>
    <x v="7"/>
    <x v="27"/>
    <n v="10000"/>
    <n v="7000"/>
    <x v="30"/>
    <n v="381000"/>
  </r>
  <r>
    <d v="2020-05-19T00:00:00"/>
    <x v="4"/>
    <x v="4"/>
    <x v="4"/>
    <x v="28"/>
    <n v="4000"/>
    <n v="3000"/>
    <x v="31"/>
    <n v="67000"/>
  </r>
  <r>
    <d v="2021-12-06T00:00:00"/>
    <x v="1"/>
    <x v="1"/>
    <x v="2"/>
    <x v="28"/>
    <n v="1200"/>
    <n v="800"/>
    <x v="32"/>
    <n v="26800"/>
  </r>
  <r>
    <d v="2020-08-26T00:00:00"/>
    <x v="9"/>
    <x v="2"/>
    <x v="3"/>
    <x v="29"/>
    <n v="1000"/>
    <n v="700"/>
    <x v="33"/>
    <n v="44700"/>
  </r>
  <r>
    <d v="2021-07-01T00:00:00"/>
    <x v="4"/>
    <x v="3"/>
    <x v="6"/>
    <x v="30"/>
    <n v="600"/>
    <n v="400"/>
    <x v="34"/>
    <n v="20800"/>
  </r>
  <r>
    <d v="2021-07-27T00:00:00"/>
    <x v="7"/>
    <x v="4"/>
    <x v="6"/>
    <x v="31"/>
    <n v="600"/>
    <n v="400"/>
    <x v="35"/>
    <n v="11400"/>
  </r>
  <r>
    <d v="2020-10-05T00:00:00"/>
    <x v="2"/>
    <x v="1"/>
    <x v="6"/>
    <x v="32"/>
    <n v="600"/>
    <n v="400"/>
    <x v="36"/>
    <n v="18000"/>
  </r>
  <r>
    <d v="2020-09-02T00:00:00"/>
    <x v="5"/>
    <x v="2"/>
    <x v="6"/>
    <x v="28"/>
    <n v="600"/>
    <n v="400"/>
    <x v="37"/>
    <n v="13400"/>
  </r>
  <r>
    <d v="2021-09-02T00:00:00"/>
    <x v="10"/>
    <x v="3"/>
    <x v="4"/>
    <x v="27"/>
    <n v="4000"/>
    <n v="3000"/>
    <x v="38"/>
    <n v="127000"/>
  </r>
  <r>
    <d v="2021-04-13T00:00:00"/>
    <x v="5"/>
    <x v="4"/>
    <x v="3"/>
    <x v="16"/>
    <n v="1000"/>
    <n v="700"/>
    <x v="39"/>
    <n v="32400"/>
  </r>
  <r>
    <d v="2021-05-06T00:00:00"/>
    <x v="2"/>
    <x v="1"/>
    <x v="1"/>
    <x v="25"/>
    <n v="3500"/>
    <n v="2500"/>
    <x v="28"/>
    <n v="66000"/>
  </r>
  <r>
    <d v="2021-01-15T00:00:00"/>
    <x v="10"/>
    <x v="3"/>
    <x v="5"/>
    <x v="6"/>
    <n v="6000"/>
    <n v="4000"/>
    <x v="40"/>
    <n v="156000"/>
  </r>
  <r>
    <d v="2020-08-27T00:00:00"/>
    <x v="7"/>
    <x v="2"/>
    <x v="3"/>
    <x v="33"/>
    <n v="1000"/>
    <n v="700"/>
    <x v="41"/>
    <n v="20700"/>
  </r>
  <r>
    <d v="2021-02-05T00:00:00"/>
    <x v="4"/>
    <x v="4"/>
    <x v="2"/>
    <x v="34"/>
    <n v="1200"/>
    <n v="800"/>
    <x v="42"/>
    <n v="23600"/>
  </r>
  <r>
    <d v="2021-11-17T00:00:00"/>
    <x v="9"/>
    <x v="2"/>
    <x v="6"/>
    <x v="35"/>
    <n v="600"/>
    <n v="400"/>
    <x v="43"/>
    <n v="21800"/>
  </r>
  <r>
    <d v="2020-12-28T00:00:00"/>
    <x v="8"/>
    <x v="1"/>
    <x v="4"/>
    <x v="36"/>
    <n v="4000"/>
    <n v="3000"/>
    <x v="44"/>
    <n v="61000"/>
  </r>
  <r>
    <d v="2021-10-27T00:00:00"/>
    <x v="4"/>
    <x v="3"/>
    <x v="6"/>
    <x v="37"/>
    <n v="600"/>
    <n v="400"/>
    <x v="6"/>
    <n v="26000"/>
  </r>
  <r>
    <d v="2021-11-02T00:00:00"/>
    <x v="3"/>
    <x v="2"/>
    <x v="1"/>
    <x v="38"/>
    <n v="3500"/>
    <n v="2500"/>
    <x v="45"/>
    <n v="60000"/>
  </r>
  <r>
    <d v="2020-05-07T00:00:00"/>
    <x v="1"/>
    <x v="1"/>
    <x v="5"/>
    <x v="39"/>
    <n v="6000"/>
    <n v="4000"/>
    <x v="46"/>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E4F666-F819-4F61-98A0-EC366DD255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J5:K12" firstHeaderRow="1" firstDataRow="1" firstDataCol="1"/>
  <pivotFields count="9">
    <pivotField numFmtId="14" showAll="0"/>
    <pivotField showAll="0">
      <items count="12">
        <item x="10"/>
        <item x="8"/>
        <item x="3"/>
        <item x="5"/>
        <item x="7"/>
        <item x="2"/>
        <item x="1"/>
        <item x="4"/>
        <item x="9"/>
        <item x="6"/>
        <item x="0"/>
        <item t="default"/>
      </items>
    </pivotField>
    <pivotField showAll="0">
      <items count="6">
        <item x="1"/>
        <item h="1" x="3"/>
        <item h="1" x="2"/>
        <item h="1" x="4"/>
        <item h="1" x="0"/>
        <item t="default"/>
      </items>
    </pivotField>
    <pivotField axis="axisRow" showAll="0">
      <items count="9">
        <item sd="0" x="2"/>
        <item sd="0" x="1"/>
        <item sd="0" x="6"/>
        <item sd="0" x="3"/>
        <item sd="0" x="7"/>
        <item sd="0" x="4"/>
        <item sd="0" x="5"/>
        <item sd="0" x="0"/>
        <item t="default" sd="0"/>
      </items>
    </pivotField>
    <pivotField axis="axisRow" dataField="1" showAll="0">
      <items count="41">
        <item x="5"/>
        <item x="9"/>
        <item x="10"/>
        <item x="31"/>
        <item x="34"/>
        <item x="38"/>
        <item x="36"/>
        <item x="25"/>
        <item x="28"/>
        <item x="33"/>
        <item x="19"/>
        <item x="39"/>
        <item x="13"/>
        <item x="6"/>
        <item x="15"/>
        <item x="26"/>
        <item x="32"/>
        <item x="3"/>
        <item x="18"/>
        <item x="21"/>
        <item x="12"/>
        <item x="23"/>
        <item x="8"/>
        <item x="20"/>
        <item x="30"/>
        <item x="16"/>
        <item x="35"/>
        <item x="4"/>
        <item x="24"/>
        <item x="27"/>
        <item x="1"/>
        <item x="37"/>
        <item x="2"/>
        <item x="11"/>
        <item x="22"/>
        <item x="17"/>
        <item x="14"/>
        <item x="7"/>
        <item x="29"/>
        <item h="1" x="0"/>
        <item t="default"/>
      </items>
    </pivotField>
    <pivotField showAll="0"/>
    <pivotField showAll="0"/>
    <pivotField showAll="0">
      <items count="48">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38"/>
        <item x="18"/>
        <item x="15"/>
        <item x="7"/>
        <item x="17"/>
        <item x="30"/>
        <item x="0"/>
        <item t="default"/>
      </items>
    </pivotField>
    <pivotField showAll="0"/>
  </pivotFields>
  <rowFields count="2">
    <field x="3"/>
    <field x="4"/>
  </rowFields>
  <rowItems count="7">
    <i>
      <x/>
    </i>
    <i>
      <x v="1"/>
    </i>
    <i>
      <x v="2"/>
    </i>
    <i>
      <x v="4"/>
    </i>
    <i>
      <x v="5"/>
    </i>
    <i>
      <x v="6"/>
    </i>
    <i t="grand">
      <x/>
    </i>
  </rowItems>
  <colItems count="1">
    <i/>
  </colItems>
  <dataFields count="1">
    <dataField name="Sum of Units Sold" fld="4" baseField="3" baseItem="0"/>
  </dataFields>
  <chartFormats count="24">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3" count="1" selected="0">
            <x v="0"/>
          </reference>
        </references>
      </pivotArea>
    </chartFormat>
    <chartFormat chart="39" format="10">
      <pivotArea type="data" outline="0" fieldPosition="0">
        <references count="2">
          <reference field="4294967294" count="1" selected="0">
            <x v="0"/>
          </reference>
          <reference field="3" count="1" selected="0">
            <x v="1"/>
          </reference>
        </references>
      </pivotArea>
    </chartFormat>
    <chartFormat chart="39" format="11">
      <pivotArea type="data" outline="0" fieldPosition="0">
        <references count="2">
          <reference field="4294967294" count="1" selected="0">
            <x v="0"/>
          </reference>
          <reference field="3" count="1" selected="0">
            <x v="2"/>
          </reference>
        </references>
      </pivotArea>
    </chartFormat>
    <chartFormat chart="39" format="12">
      <pivotArea type="data" outline="0" fieldPosition="0">
        <references count="2">
          <reference field="4294967294" count="1" selected="0">
            <x v="0"/>
          </reference>
          <reference field="3" count="1" selected="0">
            <x v="3"/>
          </reference>
        </references>
      </pivotArea>
    </chartFormat>
    <chartFormat chart="39" format="13">
      <pivotArea type="data" outline="0" fieldPosition="0">
        <references count="2">
          <reference field="4294967294" count="1" selected="0">
            <x v="0"/>
          </reference>
          <reference field="3" count="1" selected="0">
            <x v="4"/>
          </reference>
        </references>
      </pivotArea>
    </chartFormat>
    <chartFormat chart="39" format="14">
      <pivotArea type="data" outline="0" fieldPosition="0">
        <references count="2">
          <reference field="4294967294" count="1" selected="0">
            <x v="0"/>
          </reference>
          <reference field="3" count="1" selected="0">
            <x v="5"/>
          </reference>
        </references>
      </pivotArea>
    </chartFormat>
    <chartFormat chart="39" format="15">
      <pivotArea type="data" outline="0" fieldPosition="0">
        <references count="2">
          <reference field="4294967294" count="1" selected="0">
            <x v="0"/>
          </reference>
          <reference field="3" count="1" selected="0">
            <x v="6"/>
          </reference>
        </references>
      </pivotArea>
    </chartFormat>
    <chartFormat chart="40" format="16" series="1">
      <pivotArea type="data" outline="0" fieldPosition="0">
        <references count="1">
          <reference field="4294967294" count="1" selected="0">
            <x v="0"/>
          </reference>
        </references>
      </pivotArea>
    </chartFormat>
    <chartFormat chart="40" format="17">
      <pivotArea type="data" outline="0" fieldPosition="0">
        <references count="2">
          <reference field="4294967294" count="1" selected="0">
            <x v="0"/>
          </reference>
          <reference field="3" count="1" selected="0">
            <x v="0"/>
          </reference>
        </references>
      </pivotArea>
    </chartFormat>
    <chartFormat chart="40" format="18">
      <pivotArea type="data" outline="0" fieldPosition="0">
        <references count="2">
          <reference field="4294967294" count="1" selected="0">
            <x v="0"/>
          </reference>
          <reference field="3" count="1" selected="0">
            <x v="1"/>
          </reference>
        </references>
      </pivotArea>
    </chartFormat>
    <chartFormat chart="40" format="19">
      <pivotArea type="data" outline="0" fieldPosition="0">
        <references count="2">
          <reference field="4294967294" count="1" selected="0">
            <x v="0"/>
          </reference>
          <reference field="3" count="1" selected="0">
            <x v="2"/>
          </reference>
        </references>
      </pivotArea>
    </chartFormat>
    <chartFormat chart="40" format="20">
      <pivotArea type="data" outline="0" fieldPosition="0">
        <references count="2">
          <reference field="4294967294" count="1" selected="0">
            <x v="0"/>
          </reference>
          <reference field="3" count="1" selected="0">
            <x v="3"/>
          </reference>
        </references>
      </pivotArea>
    </chartFormat>
    <chartFormat chart="40" format="21">
      <pivotArea type="data" outline="0" fieldPosition="0">
        <references count="2">
          <reference field="4294967294" count="1" selected="0">
            <x v="0"/>
          </reference>
          <reference field="3" count="1" selected="0">
            <x v="4"/>
          </reference>
        </references>
      </pivotArea>
    </chartFormat>
    <chartFormat chart="40" format="22">
      <pivotArea type="data" outline="0" fieldPosition="0">
        <references count="2">
          <reference field="4294967294" count="1" selected="0">
            <x v="0"/>
          </reference>
          <reference field="3" count="1" selected="0">
            <x v="5"/>
          </reference>
        </references>
      </pivotArea>
    </chartFormat>
    <chartFormat chart="40" format="23">
      <pivotArea type="data" outline="0" fieldPosition="0">
        <references count="2">
          <reference field="4294967294" count="1" selected="0">
            <x v="0"/>
          </reference>
          <reference field="3" count="1" selected="0">
            <x v="6"/>
          </reference>
        </references>
      </pivotArea>
    </chartFormat>
    <chartFormat chart="41" format="16" series="1">
      <pivotArea type="data" outline="0" fieldPosition="0">
        <references count="1">
          <reference field="4294967294" count="1" selected="0">
            <x v="0"/>
          </reference>
        </references>
      </pivotArea>
    </chartFormat>
    <chartFormat chart="41" format="17">
      <pivotArea type="data" outline="0" fieldPosition="0">
        <references count="2">
          <reference field="4294967294" count="1" selected="0">
            <x v="0"/>
          </reference>
          <reference field="3" count="1" selected="0">
            <x v="0"/>
          </reference>
        </references>
      </pivotArea>
    </chartFormat>
    <chartFormat chart="41" format="18">
      <pivotArea type="data" outline="0" fieldPosition="0">
        <references count="2">
          <reference field="4294967294" count="1" selected="0">
            <x v="0"/>
          </reference>
          <reference field="3" count="1" selected="0">
            <x v="1"/>
          </reference>
        </references>
      </pivotArea>
    </chartFormat>
    <chartFormat chart="41" format="19">
      <pivotArea type="data" outline="0" fieldPosition="0">
        <references count="2">
          <reference field="4294967294" count="1" selected="0">
            <x v="0"/>
          </reference>
          <reference field="3" count="1" selected="0">
            <x v="2"/>
          </reference>
        </references>
      </pivotArea>
    </chartFormat>
    <chartFormat chart="41" format="20">
      <pivotArea type="data" outline="0" fieldPosition="0">
        <references count="2">
          <reference field="4294967294" count="1" selected="0">
            <x v="0"/>
          </reference>
          <reference field="3" count="1" selected="0">
            <x v="3"/>
          </reference>
        </references>
      </pivotArea>
    </chartFormat>
    <chartFormat chart="41" format="21">
      <pivotArea type="data" outline="0" fieldPosition="0">
        <references count="2">
          <reference field="4294967294" count="1" selected="0">
            <x v="0"/>
          </reference>
          <reference field="3" count="1" selected="0">
            <x v="4"/>
          </reference>
        </references>
      </pivotArea>
    </chartFormat>
    <chartFormat chart="41" format="22">
      <pivotArea type="data" outline="0" fieldPosition="0">
        <references count="2">
          <reference field="4294967294" count="1" selected="0">
            <x v="0"/>
          </reference>
          <reference field="3" count="1" selected="0">
            <x v="5"/>
          </reference>
        </references>
      </pivotArea>
    </chartFormat>
    <chartFormat chart="41" format="2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12C144-8D57-4245-A78A-F061538172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9">
    <pivotField numFmtId="14" showAll="0"/>
    <pivotField showAll="0">
      <items count="12">
        <item x="10"/>
        <item x="8"/>
        <item x="3"/>
        <item x="5"/>
        <item x="7"/>
        <item x="2"/>
        <item x="1"/>
        <item x="4"/>
        <item x="9"/>
        <item x="6"/>
        <item x="0"/>
        <item t="default"/>
      </items>
    </pivotField>
    <pivotField axis="axisRow" showAll="0">
      <items count="6">
        <item x="1"/>
        <item h="1" x="3"/>
        <item h="1" x="2"/>
        <item h="1" x="4"/>
        <item h="1" x="0"/>
        <item t="default"/>
      </items>
    </pivotField>
    <pivotField showAll="0">
      <items count="9">
        <item x="2"/>
        <item x="1"/>
        <item x="6"/>
        <item x="3"/>
        <item x="7"/>
        <item x="4"/>
        <item x="5"/>
        <item x="0"/>
        <item t="default"/>
      </items>
    </pivotField>
    <pivotField showAll="0"/>
    <pivotField showAll="0"/>
    <pivotField showAll="0"/>
    <pivotField dataField="1" showAll="0"/>
    <pivotField showAll="0"/>
  </pivotFields>
  <rowFields count="1">
    <field x="2"/>
  </rowFields>
  <rowItems count="2">
    <i>
      <x/>
    </i>
    <i t="grand">
      <x/>
    </i>
  </rowItems>
  <colItems count="1">
    <i/>
  </colItems>
  <dataFields count="1">
    <dataField name="Sum of Total Sales" fld="7" baseField="2" baseItem="3" numFmtId="165"/>
  </dataFields>
  <chartFormats count="6">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 chart="7" format="13">
      <pivotArea type="data" outline="0" fieldPosition="0">
        <references count="2">
          <reference field="4294967294" count="1" selected="0">
            <x v="0"/>
          </reference>
          <reference field="2" count="1" selected="0">
            <x v="1"/>
          </reference>
        </references>
      </pivotArea>
    </chartFormat>
    <chartFormat chart="7" format="14">
      <pivotArea type="data" outline="0" fieldPosition="0">
        <references count="2">
          <reference field="4294967294" count="1" selected="0">
            <x v="0"/>
          </reference>
          <reference field="2" count="1" selected="0">
            <x v="2"/>
          </reference>
        </references>
      </pivotArea>
    </chartFormat>
    <chartFormat chart="7" format="15">
      <pivotArea type="data" outline="0" fieldPosition="0">
        <references count="2">
          <reference field="4294967294" count="1" selected="0">
            <x v="0"/>
          </reference>
          <reference field="2" count="1" selected="0">
            <x v="3"/>
          </reference>
        </references>
      </pivotArea>
    </chartFormat>
    <chartFormat chart="7" format="1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18F172-D60E-429F-BA3C-FDB82826BD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4:H12" firstHeaderRow="1" firstDataRow="1" firstDataCol="1"/>
  <pivotFields count="9">
    <pivotField numFmtId="14" showAll="0"/>
    <pivotField axis="axisRow" showAll="0">
      <items count="12">
        <item x="10"/>
        <item x="8"/>
        <item x="3"/>
        <item x="5"/>
        <item x="7"/>
        <item x="2"/>
        <item x="1"/>
        <item x="4"/>
        <item x="9"/>
        <item x="6"/>
        <item x="0"/>
        <item t="default"/>
      </items>
    </pivotField>
    <pivotField showAll="0">
      <items count="6">
        <item x="1"/>
        <item h="1" x="3"/>
        <item h="1" x="2"/>
        <item h="1" x="4"/>
        <item h="1" x="0"/>
        <item t="default"/>
      </items>
    </pivotField>
    <pivotField showAll="0">
      <items count="9">
        <item x="2"/>
        <item x="1"/>
        <item x="6"/>
        <item x="3"/>
        <item x="7"/>
        <item x="4"/>
        <item x="5"/>
        <item x="0"/>
        <item t="default"/>
      </items>
    </pivotField>
    <pivotField showAll="0"/>
    <pivotField showAll="0"/>
    <pivotField showAll="0"/>
    <pivotField dataField="1" showAll="0"/>
    <pivotField showAll="0"/>
  </pivotFields>
  <rowFields count="1">
    <field x="1"/>
  </rowFields>
  <rowItems count="8">
    <i>
      <x/>
    </i>
    <i>
      <x v="1"/>
    </i>
    <i>
      <x v="2"/>
    </i>
    <i>
      <x v="3"/>
    </i>
    <i>
      <x v="5"/>
    </i>
    <i>
      <x v="6"/>
    </i>
    <i>
      <x v="8"/>
    </i>
    <i t="grand">
      <x/>
    </i>
  </rowItems>
  <colItems count="1">
    <i/>
  </colItems>
  <dataFields count="1">
    <dataField name="Sum of Total Sales" fld="7" baseField="1" baseItem="0" numFmtId="165"/>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 count="1" selected="0">
            <x v="4"/>
          </reference>
        </references>
      </pivotArea>
    </chartFormat>
    <chartFormat chart="12" format="2">
      <pivotArea type="data" outline="0" fieldPosition="0">
        <references count="2">
          <reference field="4294967294" count="1" selected="0">
            <x v="0"/>
          </reference>
          <reference field="1"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3"/>
          </reference>
        </references>
      </pivotArea>
    </chartFormat>
    <chartFormat chart="16" format="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16E4A5-00E2-4F69-BB96-CB9BFF78CC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7:E14" firstHeaderRow="1" firstDataRow="1" firstDataCol="1"/>
  <pivotFields count="9">
    <pivotField numFmtId="14" showAll="0"/>
    <pivotField showAll="0">
      <items count="12">
        <item x="10"/>
        <item x="8"/>
        <item x="3"/>
        <item x="5"/>
        <item x="7"/>
        <item x="2"/>
        <item x="1"/>
        <item x="4"/>
        <item x="9"/>
        <item x="6"/>
        <item x="0"/>
        <item t="default"/>
      </items>
    </pivotField>
    <pivotField showAll="0">
      <items count="6">
        <item x="1"/>
        <item h="1" x="3"/>
        <item h="1" x="2"/>
        <item h="1" x="4"/>
        <item h="1" x="0"/>
        <item t="default"/>
      </items>
    </pivotField>
    <pivotField axis="axisRow" showAll="0">
      <items count="9">
        <item x="2"/>
        <item x="1"/>
        <item x="6"/>
        <item x="3"/>
        <item x="7"/>
        <item x="4"/>
        <item x="5"/>
        <item x="0"/>
        <item t="default"/>
      </items>
    </pivotField>
    <pivotField showAll="0"/>
    <pivotField showAll="0"/>
    <pivotField showAll="0"/>
    <pivotField dataField="1" showAll="0"/>
    <pivotField showAll="0"/>
  </pivotFields>
  <rowFields count="1">
    <field x="3"/>
  </rowFields>
  <rowItems count="7">
    <i>
      <x/>
    </i>
    <i>
      <x v="1"/>
    </i>
    <i>
      <x v="2"/>
    </i>
    <i>
      <x v="4"/>
    </i>
    <i>
      <x v="5"/>
    </i>
    <i>
      <x v="6"/>
    </i>
    <i t="grand">
      <x/>
    </i>
  </rowItems>
  <colItems count="1">
    <i/>
  </colItems>
  <dataFields count="1">
    <dataField name="Sum of Total Sales" fld="7" baseField="3" baseItem="1" numFmtId="165"/>
  </dataFields>
  <chartFormats count="17">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7"/>
          </reference>
        </references>
      </pivotArea>
    </chartFormat>
    <chartFormat chart="15" format="2">
      <pivotArea type="data" outline="0" fieldPosition="0">
        <references count="2">
          <reference field="4294967294" count="1" selected="0">
            <x v="0"/>
          </reference>
          <reference field="3" count="1" selected="0">
            <x v="6"/>
          </reference>
        </references>
      </pivotArea>
    </chartFormat>
    <chartFormat chart="15" format="3">
      <pivotArea type="data" outline="0" fieldPosition="0">
        <references count="2">
          <reference field="4294967294" count="1" selected="0">
            <x v="0"/>
          </reference>
          <reference field="3" count="1" selected="0">
            <x v="5"/>
          </reference>
        </references>
      </pivotArea>
    </chartFormat>
    <chartFormat chart="15" format="4">
      <pivotArea type="data" outline="0" fieldPosition="0">
        <references count="2">
          <reference field="4294967294" count="1" selected="0">
            <x v="0"/>
          </reference>
          <reference field="3" count="1" selected="0">
            <x v="4"/>
          </reference>
        </references>
      </pivotArea>
    </chartFormat>
    <chartFormat chart="15" format="5">
      <pivotArea type="data" outline="0" fieldPosition="0">
        <references count="2">
          <reference field="4294967294" count="1" selected="0">
            <x v="0"/>
          </reference>
          <reference field="3" count="1" selected="0">
            <x v="3"/>
          </reference>
        </references>
      </pivotArea>
    </chartFormat>
    <chartFormat chart="15" format="6">
      <pivotArea type="data" outline="0" fieldPosition="0">
        <references count="2">
          <reference field="4294967294" count="1" selected="0">
            <x v="0"/>
          </reference>
          <reference field="3" count="1" selected="0">
            <x v="2"/>
          </reference>
        </references>
      </pivotArea>
    </chartFormat>
    <chartFormat chart="15" format="7">
      <pivotArea type="data" outline="0" fieldPosition="0">
        <references count="2">
          <reference field="4294967294" count="1" selected="0">
            <x v="0"/>
          </reference>
          <reference field="3" count="1" selected="0">
            <x v="1"/>
          </reference>
        </references>
      </pivotArea>
    </chartFormat>
    <chartFormat chart="15" format="8">
      <pivotArea type="data" outline="0" fieldPosition="0">
        <references count="2">
          <reference field="4294967294" count="1" selected="0">
            <x v="0"/>
          </reference>
          <reference field="3" count="1" selected="0">
            <x v="0"/>
          </reference>
        </references>
      </pivotArea>
    </chartFormat>
    <chartFormat chart="24" format="17" series="1">
      <pivotArea type="data" outline="0" fieldPosition="0">
        <references count="1">
          <reference field="4294967294" count="1" selected="0">
            <x v="0"/>
          </reference>
        </references>
      </pivotArea>
    </chartFormat>
    <chartFormat chart="24" format="18">
      <pivotArea type="data" outline="0" fieldPosition="0">
        <references count="2">
          <reference field="4294967294" count="1" selected="0">
            <x v="0"/>
          </reference>
          <reference field="3" count="1" selected="0">
            <x v="0"/>
          </reference>
        </references>
      </pivotArea>
    </chartFormat>
    <chartFormat chart="24" format="19">
      <pivotArea type="data" outline="0" fieldPosition="0">
        <references count="2">
          <reference field="4294967294" count="1" selected="0">
            <x v="0"/>
          </reference>
          <reference field="3" count="1" selected="0">
            <x v="1"/>
          </reference>
        </references>
      </pivotArea>
    </chartFormat>
    <chartFormat chart="24" format="20">
      <pivotArea type="data" outline="0" fieldPosition="0">
        <references count="2">
          <reference field="4294967294" count="1" selected="0">
            <x v="0"/>
          </reference>
          <reference field="3" count="1" selected="0">
            <x v="2"/>
          </reference>
        </references>
      </pivotArea>
    </chartFormat>
    <chartFormat chart="24" format="21">
      <pivotArea type="data" outline="0" fieldPosition="0">
        <references count="2">
          <reference field="4294967294" count="1" selected="0">
            <x v="0"/>
          </reference>
          <reference field="3" count="1" selected="0">
            <x v="3"/>
          </reference>
        </references>
      </pivotArea>
    </chartFormat>
    <chartFormat chart="24" format="22">
      <pivotArea type="data" outline="0" fieldPosition="0">
        <references count="2">
          <reference field="4294967294" count="1" selected="0">
            <x v="0"/>
          </reference>
          <reference field="3" count="1" selected="0">
            <x v="4"/>
          </reference>
        </references>
      </pivotArea>
    </chartFormat>
    <chartFormat chart="24" format="23">
      <pivotArea type="data" outline="0" fieldPosition="0">
        <references count="2">
          <reference field="4294967294" count="1" selected="0">
            <x v="0"/>
          </reference>
          <reference field="3" count="1" selected="0">
            <x v="5"/>
          </reference>
        </references>
      </pivotArea>
    </chartFormat>
    <chartFormat chart="24" format="24">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C258733F-5880-46B9-A1C9-D6A1602D7225}" sourceName="Sales Person">
  <pivotTables>
    <pivotTable tabId="5" name="PivotTable1"/>
    <pivotTable tabId="5" name="PivotTable2"/>
    <pivotTable tabId="5" name="PivotTable3"/>
    <pivotTable tabId="5" name="PivotTable4"/>
  </pivotTables>
  <data>
    <tabular pivotCacheId="556237811">
      <items count="11">
        <i x="10" s="1"/>
        <i x="8" s="1"/>
        <i x="3" s="1"/>
        <i x="5" s="1"/>
        <i x="2" s="1"/>
        <i x="1" s="1"/>
        <i x="9" s="1"/>
        <i x="7" s="1" nd="1"/>
        <i x="4" s="1" nd="1"/>
        <i x="6"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12EAFBF-46BE-4AD9-82DE-2CE715F01300}" sourceName="Product">
  <pivotTables>
    <pivotTable tabId="5" name="PivotTable1"/>
    <pivotTable tabId="5" name="PivotTable2"/>
    <pivotTable tabId="5" name="PivotTable3"/>
    <pivotTable tabId="5" name="PivotTable4"/>
  </pivotTables>
  <data>
    <tabular pivotCacheId="556237811">
      <items count="8">
        <i x="2" s="1"/>
        <i x="1" s="1"/>
        <i x="6" s="1"/>
        <i x="7" s="1"/>
        <i x="4" s="1"/>
        <i x="5" s="1"/>
        <i x="3"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01DD60-6854-43A9-A917-294E7B757D7A}" sourceName="Region">
  <pivotTables>
    <pivotTable tabId="5" name="PivotTable1"/>
    <pivotTable tabId="5" name="PivotTable2"/>
    <pivotTable tabId="5" name="PivotTable3"/>
    <pivotTable tabId="5" name="PivotTable4"/>
  </pivotTables>
  <data>
    <tabular pivotCacheId="556237811" customListSort="0">
      <items count="5">
        <i x="1" s="1"/>
        <i x="3"/>
        <i x="2"/>
        <i x="4"/>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E0208B2D-82B8-4680-9AFA-8A233DD225CE}" cache="Slicer_Sales_Person" caption="Sales Person" rowHeight="251883"/>
  <slicer name="Product" xr10:uid="{99403A8C-49C5-47DF-8401-CB7284355F19}" cache="Slicer_Product" caption="Product" rowHeight="251883"/>
  <slicer name="Region" xr10:uid="{E2FE9B72-5BFE-446B-9510-3AC17222E379}" cache="Slicer_Region" caption="Region" columnCount="2" showCaption="0"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63FAA6FF-F3DC-48D8-AF52-297CC06389E5}" cache="Slicer_Sales_Person" caption="Sales Person" rowHeight="251883"/>
  <slicer name="Product 1" xr10:uid="{5DB3D578-A09A-448B-B115-D5E201FA7114}" cache="Slicer_Product" caption="Product" rowHeight="251883"/>
  <slicer name="Region 1" xr10:uid="{147FF039-6161-476D-BECE-E1CF01B46833}" cache="Slicer_Region" caption="Region" columnCount="2"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64873C-715C-426F-8522-0FBFEE3D451A}" name="Table1" displayName="Table1" ref="A1:I51" totalsRowShown="0" headerRowDxfId="7" dataDxfId="6" dataCellStyle="Currency [0]">
  <autoFilter ref="A1:I51" xr:uid="{0764873C-715C-426F-8522-0FBFEE3D451A}">
    <filterColumn colId="2">
      <filters>
        <filter val="East"/>
        <filter val="North"/>
        <filter val="South"/>
        <filter val="West"/>
      </filters>
    </filterColumn>
  </autoFilter>
  <sortState xmlns:xlrd2="http://schemas.microsoft.com/office/spreadsheetml/2017/richdata2" ref="A2:I51">
    <sortCondition ref="C1:C51"/>
  </sortState>
  <tableColumns count="9">
    <tableColumn id="1" xr3:uid="{9883B3B2-D369-467B-B844-E065069D6341}" name="Date" dataDxfId="5"/>
    <tableColumn id="2" xr3:uid="{801A1F41-9B49-4B1C-8EBC-CCD1105A4B82}" name="Sales Person"/>
    <tableColumn id="3" xr3:uid="{AA85A391-809B-4327-AA55-81D79E3539DB}" name="Region"/>
    <tableColumn id="4" xr3:uid="{35749D69-F97F-4B4A-AA72-474904279069}" name="Product"/>
    <tableColumn id="5" xr3:uid="{8931571A-C85F-45FF-9F6C-1CE9E07FD13C}" name="Units Sold" dataDxfId="4"/>
    <tableColumn id="6" xr3:uid="{7B4CCA85-1D5E-4E1F-9776-2C0172B9A78B}" name="Unit Price" dataDxfId="3" dataCellStyle="Currency [0]">
      <calculatedColumnFormula>IF(D2="Tent",6000,IF(D2="Blender",3500,IF(D2="Action Figure",1200,IF(D2="Novel",1000,IF(D2="Sneakers",4000,IF(D2="Smartphone",10000,IF(D2="moisturizer",600,"No Product Found")))))))</calculatedColumnFormula>
    </tableColumn>
    <tableColumn id="7" xr3:uid="{2240C8C6-2987-4A3A-8E39-F32CF9E19DEC}" name="Cost of Goods" dataDxfId="2" dataCellStyle="Currency [0]">
      <calculatedColumnFormula>IF(D2="Tent",4000,IF(D2="Blender",2500,IF(D2="Action Figure",800,IF(D2="Novel",700,IF(D2="Sneakers",3000,IF(D2="Smartphone",7000,IF(D2="moisturizer",400,"No Product Found")))))))</calculatedColumnFormula>
    </tableColumn>
    <tableColumn id="8" xr3:uid="{42EF3D8D-3678-46FF-8546-2004390F4220}" name="Total Sales" dataDxfId="1" dataCellStyle="Currency [0]">
      <calculatedColumnFormula>F2*E2</calculatedColumnFormula>
    </tableColumn>
    <tableColumn id="9" xr3:uid="{B1C066C8-5864-4C18-ABB8-7745CB29F9E4}"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AA03-0CED-4EC1-8A59-660A3B6A91BE}">
  <dimension ref="A3:K14"/>
  <sheetViews>
    <sheetView tabSelected="1" zoomScale="49" zoomScaleNormal="100" workbookViewId="0">
      <selection activeCell="I16" sqref="I16"/>
    </sheetView>
  </sheetViews>
  <sheetFormatPr defaultRowHeight="14.5" x14ac:dyDescent="0.35"/>
  <cols>
    <col min="1" max="1" width="12.453125" bestFit="1" customWidth="1"/>
    <col min="2" max="2" width="16.08984375" bestFit="1" customWidth="1"/>
    <col min="4" max="4" width="12.453125" bestFit="1" customWidth="1"/>
    <col min="5" max="5" width="16.08984375" bestFit="1" customWidth="1"/>
    <col min="7" max="7" width="12.453125" bestFit="1" customWidth="1"/>
    <col min="8" max="8" width="16.08984375" bestFit="1" customWidth="1"/>
    <col min="10" max="10" width="13.453125" bestFit="1" customWidth="1"/>
    <col min="11" max="11" width="15.6328125" bestFit="1" customWidth="1"/>
  </cols>
  <sheetData>
    <row r="3" spans="1:11" x14ac:dyDescent="0.35">
      <c r="A3" s="9" t="s">
        <v>34</v>
      </c>
      <c r="B3" t="s">
        <v>35</v>
      </c>
    </row>
    <row r="4" spans="1:11" x14ac:dyDescent="0.35">
      <c r="A4" s="3" t="s">
        <v>12</v>
      </c>
      <c r="B4" s="11">
        <v>3534400</v>
      </c>
      <c r="G4" s="9" t="s">
        <v>34</v>
      </c>
      <c r="H4" t="s">
        <v>35</v>
      </c>
    </row>
    <row r="5" spans="1:11" x14ac:dyDescent="0.35">
      <c r="A5" s="3" t="s">
        <v>29</v>
      </c>
      <c r="B5" s="11">
        <v>3534400</v>
      </c>
      <c r="G5" s="3" t="s">
        <v>8</v>
      </c>
      <c r="H5" s="11">
        <v>61800</v>
      </c>
      <c r="J5" s="9" t="s">
        <v>34</v>
      </c>
      <c r="K5" t="s">
        <v>36</v>
      </c>
    </row>
    <row r="6" spans="1:11" x14ac:dyDescent="0.35">
      <c r="G6" s="3" t="s">
        <v>25</v>
      </c>
      <c r="H6" s="11">
        <v>452000</v>
      </c>
      <c r="J6" s="3" t="s">
        <v>16</v>
      </c>
      <c r="K6">
        <v>173</v>
      </c>
    </row>
    <row r="7" spans="1:11" x14ac:dyDescent="0.35">
      <c r="D7" s="9" t="s">
        <v>34</v>
      </c>
      <c r="E7" t="s">
        <v>35</v>
      </c>
      <c r="G7" s="3" t="s">
        <v>17</v>
      </c>
      <c r="H7" s="11">
        <v>1270000</v>
      </c>
      <c r="J7" s="3" t="s">
        <v>13</v>
      </c>
      <c r="K7">
        <v>194</v>
      </c>
    </row>
    <row r="8" spans="1:11" x14ac:dyDescent="0.35">
      <c r="D8" s="3" t="s">
        <v>16</v>
      </c>
      <c r="E8" s="11">
        <v>207600</v>
      </c>
      <c r="F8" s="3"/>
      <c r="G8" s="3" t="s">
        <v>22</v>
      </c>
      <c r="H8" s="11">
        <v>433200</v>
      </c>
      <c r="J8" s="3" t="s">
        <v>26</v>
      </c>
      <c r="K8">
        <v>193</v>
      </c>
    </row>
    <row r="9" spans="1:11" x14ac:dyDescent="0.35">
      <c r="D9" s="3" t="s">
        <v>13</v>
      </c>
      <c r="E9" s="11">
        <v>679000</v>
      </c>
      <c r="F9" s="3"/>
      <c r="G9" s="3" t="s">
        <v>14</v>
      </c>
      <c r="H9" s="11">
        <v>285000</v>
      </c>
      <c r="J9" s="3" t="s">
        <v>28</v>
      </c>
      <c r="K9">
        <v>127</v>
      </c>
    </row>
    <row r="10" spans="1:11" x14ac:dyDescent="0.35">
      <c r="D10" s="3" t="s">
        <v>26</v>
      </c>
      <c r="E10" s="11">
        <v>115800</v>
      </c>
      <c r="F10" s="3"/>
      <c r="G10" s="3" t="s">
        <v>11</v>
      </c>
      <c r="H10" s="11">
        <v>966400</v>
      </c>
      <c r="J10" s="3" t="s">
        <v>21</v>
      </c>
      <c r="K10">
        <v>206</v>
      </c>
    </row>
    <row r="11" spans="1:11" x14ac:dyDescent="0.35">
      <c r="D11" s="3" t="s">
        <v>28</v>
      </c>
      <c r="E11" s="11">
        <v>1270000</v>
      </c>
      <c r="F11" s="3"/>
      <c r="G11" s="3" t="s">
        <v>27</v>
      </c>
      <c r="H11" s="11">
        <v>66000</v>
      </c>
      <c r="J11" s="3" t="s">
        <v>10</v>
      </c>
      <c r="K11">
        <v>73</v>
      </c>
    </row>
    <row r="12" spans="1:11" x14ac:dyDescent="0.35">
      <c r="D12" s="3" t="s">
        <v>21</v>
      </c>
      <c r="E12" s="11">
        <v>824000</v>
      </c>
      <c r="F12" s="10"/>
      <c r="G12" s="3" t="s">
        <v>29</v>
      </c>
      <c r="H12" s="11">
        <v>3534400</v>
      </c>
      <c r="J12" s="3" t="s">
        <v>29</v>
      </c>
      <c r="K12">
        <v>966</v>
      </c>
    </row>
    <row r="13" spans="1:11" x14ac:dyDescent="0.35">
      <c r="D13" s="3" t="s">
        <v>10</v>
      </c>
      <c r="E13" s="11">
        <v>438000</v>
      </c>
      <c r="F13" s="3"/>
    </row>
    <row r="14" spans="1:11" x14ac:dyDescent="0.35">
      <c r="D14" s="3" t="s">
        <v>29</v>
      </c>
      <c r="E14" s="11">
        <v>3534400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L51"/>
  <sheetViews>
    <sheetView topLeftCell="C1" workbookViewId="0">
      <selection activeCell="C12" activeCellId="1" sqref="J17 C12"/>
    </sheetView>
  </sheetViews>
  <sheetFormatPr defaultRowHeight="14.5" x14ac:dyDescent="0.35"/>
  <cols>
    <col min="1" max="1" width="12.81640625" customWidth="1"/>
    <col min="2" max="2" width="13.453125" customWidth="1"/>
    <col min="3" max="3" width="9.08984375" bestFit="1" customWidth="1"/>
    <col min="4" max="4" width="15.6328125" customWidth="1"/>
    <col min="5" max="5" width="11.36328125" customWidth="1"/>
    <col min="6" max="6" width="11" customWidth="1"/>
    <col min="7" max="7" width="14.26953125" customWidth="1"/>
    <col min="8" max="9" width="13.54296875" customWidth="1"/>
    <col min="10" max="10" width="12.26953125" bestFit="1" customWidth="1"/>
    <col min="11" max="11" width="14.26953125" customWidth="1"/>
  </cols>
  <sheetData>
    <row r="1" spans="1:12" ht="20.149999999999999" customHeight="1" thickBot="1" x14ac:dyDescent="0.4">
      <c r="A1" s="1" t="s">
        <v>0</v>
      </c>
      <c r="B1" s="1" t="s">
        <v>1</v>
      </c>
      <c r="C1" s="1" t="s">
        <v>2</v>
      </c>
      <c r="D1" s="1" t="s">
        <v>3</v>
      </c>
      <c r="E1" s="1" t="s">
        <v>4</v>
      </c>
      <c r="F1" s="1" t="s">
        <v>5</v>
      </c>
      <c r="G1" s="1" t="s">
        <v>6</v>
      </c>
      <c r="H1" s="1" t="s">
        <v>7</v>
      </c>
      <c r="I1" s="5" t="s">
        <v>33</v>
      </c>
      <c r="K1" s="5" t="s">
        <v>29</v>
      </c>
    </row>
    <row r="2" spans="1:12" ht="15" hidden="1" thickTop="1" x14ac:dyDescent="0.35">
      <c r="A2" s="2">
        <v>44246</v>
      </c>
      <c r="B2" s="2">
        <v>44247</v>
      </c>
      <c r="C2" s="2">
        <v>44248</v>
      </c>
      <c r="D2" s="2">
        <v>44249</v>
      </c>
      <c r="E2" s="2">
        <v>44250</v>
      </c>
      <c r="F2" s="2">
        <v>44251</v>
      </c>
      <c r="G2" s="2">
        <v>44252</v>
      </c>
      <c r="H2" s="2">
        <v>44253</v>
      </c>
      <c r="I2" s="2">
        <v>44254</v>
      </c>
      <c r="K2" s="6">
        <f>SUM(H2:H51)</f>
        <v>12484753</v>
      </c>
    </row>
    <row r="3" spans="1:12" ht="15" thickTop="1" x14ac:dyDescent="0.35">
      <c r="A3" s="2">
        <v>44446</v>
      </c>
      <c r="B3" t="s">
        <v>11</v>
      </c>
      <c r="C3" t="s">
        <v>12</v>
      </c>
      <c r="D3" t="s">
        <v>13</v>
      </c>
      <c r="E3" s="3">
        <v>128</v>
      </c>
      <c r="F3" s="4">
        <f t="shared" ref="F3:F34" si="0">IF(D3="Tent",6000,IF(D3="Blender",3500,IF(D3="Action Figure",1200,IF(D3="Novel",1000,IF(D3="Sneakers",4000,IF(D3="Smartphone",10000,IF(D3="moisturizer",600,"No Product Found")))))))</f>
        <v>3500</v>
      </c>
      <c r="G3" s="4">
        <f t="shared" ref="G3:G34" si="1">IF(D3="Tent",4000,IF(D3="Blender",2500,IF(D3="Action Figure",800,IF(D3="Novel",700,IF(D3="Sneakers",3000,IF(D3="Smartphone",7000,IF(D3="moisturizer",400,"No Product Found")))))))</f>
        <v>2500</v>
      </c>
      <c r="H3" s="4">
        <f t="shared" ref="H3:H34" si="2">F3*E3</f>
        <v>448000</v>
      </c>
      <c r="I3" s="6">
        <f t="shared" ref="I3:I34" si="3">H3-(G3*E3)</f>
        <v>128000</v>
      </c>
      <c r="K3" s="15" t="s">
        <v>30</v>
      </c>
    </row>
    <row r="4" spans="1:12" x14ac:dyDescent="0.35">
      <c r="A4" s="2">
        <v>44105</v>
      </c>
      <c r="B4" t="s">
        <v>22</v>
      </c>
      <c r="C4" t="s">
        <v>12</v>
      </c>
      <c r="D4" t="s">
        <v>16</v>
      </c>
      <c r="E4" s="3">
        <v>51</v>
      </c>
      <c r="F4" s="4">
        <f t="shared" si="0"/>
        <v>1200</v>
      </c>
      <c r="G4" s="4">
        <f t="shared" si="1"/>
        <v>800</v>
      </c>
      <c r="H4" s="4">
        <f t="shared" si="2"/>
        <v>61200</v>
      </c>
      <c r="I4" s="6">
        <f t="shared" si="3"/>
        <v>20400</v>
      </c>
      <c r="K4" s="7">
        <f>SUM(E2:E51)</f>
        <v>48871</v>
      </c>
    </row>
    <row r="5" spans="1:12" x14ac:dyDescent="0.35">
      <c r="A5" s="2">
        <v>44469</v>
      </c>
      <c r="B5" t="s">
        <v>27</v>
      </c>
      <c r="C5" t="s">
        <v>12</v>
      </c>
      <c r="D5" t="s">
        <v>16</v>
      </c>
      <c r="E5" s="3">
        <v>55</v>
      </c>
      <c r="F5" s="4">
        <f t="shared" si="0"/>
        <v>1200</v>
      </c>
      <c r="G5" s="4">
        <f t="shared" si="1"/>
        <v>800</v>
      </c>
      <c r="H5" s="4">
        <f t="shared" si="2"/>
        <v>66000</v>
      </c>
      <c r="I5" s="6">
        <f t="shared" si="3"/>
        <v>22000</v>
      </c>
      <c r="K5" s="3" t="s">
        <v>31</v>
      </c>
    </row>
    <row r="6" spans="1:12" x14ac:dyDescent="0.35">
      <c r="A6" s="2">
        <v>44113</v>
      </c>
      <c r="B6" t="s">
        <v>25</v>
      </c>
      <c r="C6" t="s">
        <v>12</v>
      </c>
      <c r="D6" t="s">
        <v>21</v>
      </c>
      <c r="E6" s="3">
        <v>52</v>
      </c>
      <c r="F6" s="4">
        <f t="shared" si="0"/>
        <v>4000</v>
      </c>
      <c r="G6" s="4">
        <f t="shared" si="1"/>
        <v>3000</v>
      </c>
      <c r="H6" s="4">
        <f t="shared" si="2"/>
        <v>208000</v>
      </c>
      <c r="I6" s="6">
        <f t="shared" si="3"/>
        <v>52000</v>
      </c>
      <c r="K6" s="8">
        <f>SUM(I2:I51)</f>
        <v>3710654</v>
      </c>
      <c r="L6" s="13"/>
    </row>
    <row r="7" spans="1:12" x14ac:dyDescent="0.35">
      <c r="A7" s="2">
        <v>44418</v>
      </c>
      <c r="B7" t="s">
        <v>8</v>
      </c>
      <c r="C7" t="s">
        <v>12</v>
      </c>
      <c r="D7" t="s">
        <v>26</v>
      </c>
      <c r="E7" s="3">
        <v>103</v>
      </c>
      <c r="F7" s="4">
        <f t="shared" si="0"/>
        <v>600</v>
      </c>
      <c r="G7" s="4">
        <f t="shared" si="1"/>
        <v>400</v>
      </c>
      <c r="H7" s="4">
        <f t="shared" si="2"/>
        <v>61800</v>
      </c>
      <c r="I7" s="6">
        <f t="shared" si="3"/>
        <v>20600</v>
      </c>
      <c r="K7" s="3" t="s">
        <v>32</v>
      </c>
    </row>
    <row r="8" spans="1:12" x14ac:dyDescent="0.35">
      <c r="A8" s="2">
        <v>44438</v>
      </c>
      <c r="B8" t="s">
        <v>22</v>
      </c>
      <c r="C8" t="s">
        <v>12</v>
      </c>
      <c r="D8" t="s">
        <v>21</v>
      </c>
      <c r="E8" s="3">
        <v>93</v>
      </c>
      <c r="F8" s="4">
        <f t="shared" si="0"/>
        <v>4000</v>
      </c>
      <c r="G8" s="4">
        <f t="shared" si="1"/>
        <v>3000</v>
      </c>
      <c r="H8" s="4">
        <f t="shared" si="2"/>
        <v>372000</v>
      </c>
      <c r="I8" s="6">
        <f t="shared" si="3"/>
        <v>93000</v>
      </c>
      <c r="K8" s="14">
        <f>AVERAGE(H2:H51)</f>
        <v>249695.06</v>
      </c>
    </row>
    <row r="9" spans="1:12" x14ac:dyDescent="0.35">
      <c r="A9" s="2">
        <v>44126</v>
      </c>
      <c r="B9" t="s">
        <v>17</v>
      </c>
      <c r="C9" t="s">
        <v>12</v>
      </c>
      <c r="D9" t="s">
        <v>28</v>
      </c>
      <c r="E9" s="3">
        <v>127</v>
      </c>
      <c r="F9" s="4">
        <f t="shared" si="0"/>
        <v>10000</v>
      </c>
      <c r="G9" s="4">
        <f t="shared" si="1"/>
        <v>7000</v>
      </c>
      <c r="H9" s="4">
        <f t="shared" si="2"/>
        <v>1270000</v>
      </c>
      <c r="I9" s="6">
        <f t="shared" si="3"/>
        <v>381000</v>
      </c>
      <c r="K9" s="3" t="s">
        <v>7</v>
      </c>
    </row>
    <row r="10" spans="1:12" x14ac:dyDescent="0.35">
      <c r="A10" s="2">
        <v>44536</v>
      </c>
      <c r="B10" t="s">
        <v>11</v>
      </c>
      <c r="C10" t="s">
        <v>12</v>
      </c>
      <c r="D10" t="s">
        <v>16</v>
      </c>
      <c r="E10" s="3">
        <v>67</v>
      </c>
      <c r="F10" s="4">
        <f t="shared" si="0"/>
        <v>1200</v>
      </c>
      <c r="G10" s="4">
        <f t="shared" si="1"/>
        <v>800</v>
      </c>
      <c r="H10" s="4">
        <f t="shared" si="2"/>
        <v>80400</v>
      </c>
      <c r="I10" s="6">
        <f t="shared" si="3"/>
        <v>26800</v>
      </c>
      <c r="K10" s="6">
        <f>SUM(H3:H51)</f>
        <v>12440500</v>
      </c>
    </row>
    <row r="11" spans="1:12" x14ac:dyDescent="0.35">
      <c r="A11" s="2">
        <v>44109</v>
      </c>
      <c r="B11" t="s">
        <v>14</v>
      </c>
      <c r="C11" t="s">
        <v>12</v>
      </c>
      <c r="D11" t="s">
        <v>26</v>
      </c>
      <c r="E11" s="3">
        <v>90</v>
      </c>
      <c r="F11" s="4">
        <f t="shared" si="0"/>
        <v>600</v>
      </c>
      <c r="G11" s="4">
        <f t="shared" si="1"/>
        <v>400</v>
      </c>
      <c r="H11" s="4">
        <f t="shared" si="2"/>
        <v>54000</v>
      </c>
      <c r="I11" s="6">
        <f t="shared" si="3"/>
        <v>18000</v>
      </c>
    </row>
    <row r="12" spans="1:12" x14ac:dyDescent="0.35">
      <c r="A12" s="2">
        <v>44322</v>
      </c>
      <c r="B12" t="s">
        <v>14</v>
      </c>
      <c r="C12" t="s">
        <v>12</v>
      </c>
      <c r="D12" t="s">
        <v>13</v>
      </c>
      <c r="E12" s="3">
        <v>66</v>
      </c>
      <c r="F12" s="4">
        <f t="shared" si="0"/>
        <v>3500</v>
      </c>
      <c r="G12" s="4">
        <f t="shared" si="1"/>
        <v>2500</v>
      </c>
      <c r="H12" s="4">
        <f t="shared" si="2"/>
        <v>231000</v>
      </c>
      <c r="I12" s="6">
        <f t="shared" si="3"/>
        <v>66000</v>
      </c>
    </row>
    <row r="13" spans="1:12" x14ac:dyDescent="0.35">
      <c r="A13" s="2">
        <v>44193</v>
      </c>
      <c r="B13" t="s">
        <v>25</v>
      </c>
      <c r="C13" t="s">
        <v>12</v>
      </c>
      <c r="D13" t="s">
        <v>21</v>
      </c>
      <c r="E13" s="3">
        <v>61</v>
      </c>
      <c r="F13" s="4">
        <f t="shared" si="0"/>
        <v>4000</v>
      </c>
      <c r="G13" s="4">
        <f t="shared" si="1"/>
        <v>3000</v>
      </c>
      <c r="H13" s="4">
        <f t="shared" si="2"/>
        <v>244000</v>
      </c>
      <c r="I13" s="6">
        <f t="shared" si="3"/>
        <v>61000</v>
      </c>
    </row>
    <row r="14" spans="1:12" x14ac:dyDescent="0.35">
      <c r="A14" s="2">
        <v>43958</v>
      </c>
      <c r="B14" t="s">
        <v>11</v>
      </c>
      <c r="C14" t="s">
        <v>12</v>
      </c>
      <c r="D14" t="s">
        <v>10</v>
      </c>
      <c r="E14" s="3">
        <v>73</v>
      </c>
      <c r="F14" s="4">
        <f t="shared" si="0"/>
        <v>6000</v>
      </c>
      <c r="G14" s="4">
        <f t="shared" si="1"/>
        <v>4000</v>
      </c>
      <c r="H14" s="4">
        <f t="shared" si="2"/>
        <v>438000</v>
      </c>
      <c r="I14" s="6">
        <f t="shared" si="3"/>
        <v>146000</v>
      </c>
    </row>
    <row r="15" spans="1:12" x14ac:dyDescent="0.35">
      <c r="A15" s="2">
        <v>44085</v>
      </c>
      <c r="B15" t="s">
        <v>17</v>
      </c>
      <c r="C15" t="s">
        <v>18</v>
      </c>
      <c r="D15" t="s">
        <v>19</v>
      </c>
      <c r="E15" s="3">
        <v>91</v>
      </c>
      <c r="F15" s="4">
        <f t="shared" si="0"/>
        <v>1000</v>
      </c>
      <c r="G15" s="4">
        <f t="shared" si="1"/>
        <v>700</v>
      </c>
      <c r="H15" s="4">
        <f t="shared" si="2"/>
        <v>91000</v>
      </c>
      <c r="I15" s="6">
        <f t="shared" si="3"/>
        <v>27300</v>
      </c>
    </row>
    <row r="16" spans="1:12" x14ac:dyDescent="0.35">
      <c r="A16" s="2">
        <v>44413</v>
      </c>
      <c r="B16" t="s">
        <v>23</v>
      </c>
      <c r="C16" t="s">
        <v>18</v>
      </c>
      <c r="D16" t="s">
        <v>19</v>
      </c>
      <c r="E16" s="3">
        <v>78</v>
      </c>
      <c r="F16" s="4">
        <f t="shared" si="0"/>
        <v>1000</v>
      </c>
      <c r="G16" s="4">
        <f t="shared" si="1"/>
        <v>700</v>
      </c>
      <c r="H16" s="4">
        <f t="shared" si="2"/>
        <v>78000</v>
      </c>
      <c r="I16" s="6">
        <f t="shared" si="3"/>
        <v>23400</v>
      </c>
    </row>
    <row r="17" spans="1:9" x14ac:dyDescent="0.35">
      <c r="A17" s="2">
        <v>44362</v>
      </c>
      <c r="B17" t="s">
        <v>11</v>
      </c>
      <c r="C17" t="s">
        <v>18</v>
      </c>
      <c r="D17" t="s">
        <v>21</v>
      </c>
      <c r="E17" s="3">
        <v>145</v>
      </c>
      <c r="F17" s="4">
        <f t="shared" si="0"/>
        <v>4000</v>
      </c>
      <c r="G17" s="4">
        <f t="shared" si="1"/>
        <v>3000</v>
      </c>
      <c r="H17" s="4">
        <f t="shared" si="2"/>
        <v>580000</v>
      </c>
      <c r="I17" s="6">
        <f t="shared" si="3"/>
        <v>145000</v>
      </c>
    </row>
    <row r="18" spans="1:9" x14ac:dyDescent="0.35">
      <c r="A18" s="2">
        <v>44293</v>
      </c>
      <c r="B18" t="s">
        <v>14</v>
      </c>
      <c r="C18" t="s">
        <v>18</v>
      </c>
      <c r="D18" t="s">
        <v>21</v>
      </c>
      <c r="E18" s="3">
        <v>144</v>
      </c>
      <c r="F18" s="4">
        <f t="shared" si="0"/>
        <v>4000</v>
      </c>
      <c r="G18" s="4">
        <f t="shared" si="1"/>
        <v>3000</v>
      </c>
      <c r="H18" s="4">
        <f t="shared" si="2"/>
        <v>576000</v>
      </c>
      <c r="I18" s="6">
        <f t="shared" si="3"/>
        <v>144000</v>
      </c>
    </row>
    <row r="19" spans="1:9" x14ac:dyDescent="0.35">
      <c r="A19" s="2">
        <v>44532</v>
      </c>
      <c r="B19" t="s">
        <v>27</v>
      </c>
      <c r="C19" t="s">
        <v>18</v>
      </c>
      <c r="D19" t="s">
        <v>19</v>
      </c>
      <c r="E19" s="3">
        <v>55</v>
      </c>
      <c r="F19" s="4">
        <f t="shared" si="0"/>
        <v>1000</v>
      </c>
      <c r="G19" s="4">
        <f t="shared" si="1"/>
        <v>700</v>
      </c>
      <c r="H19" s="4">
        <f t="shared" si="2"/>
        <v>55000</v>
      </c>
      <c r="I19" s="6">
        <f t="shared" si="3"/>
        <v>16500</v>
      </c>
    </row>
    <row r="20" spans="1:9" x14ac:dyDescent="0.35">
      <c r="A20" s="2">
        <v>44496</v>
      </c>
      <c r="B20" t="s">
        <v>25</v>
      </c>
      <c r="C20" t="s">
        <v>18</v>
      </c>
      <c r="D20" t="s">
        <v>26</v>
      </c>
      <c r="E20" s="3">
        <v>99</v>
      </c>
      <c r="F20" s="4">
        <f t="shared" si="0"/>
        <v>600</v>
      </c>
      <c r="G20" s="4">
        <f t="shared" si="1"/>
        <v>400</v>
      </c>
      <c r="H20" s="4">
        <f t="shared" si="2"/>
        <v>59400</v>
      </c>
      <c r="I20" s="6">
        <f t="shared" si="3"/>
        <v>19800</v>
      </c>
    </row>
    <row r="21" spans="1:9" x14ac:dyDescent="0.35">
      <c r="A21" s="2">
        <v>44103</v>
      </c>
      <c r="B21" t="s">
        <v>25</v>
      </c>
      <c r="C21" t="s">
        <v>18</v>
      </c>
      <c r="D21" t="s">
        <v>16</v>
      </c>
      <c r="E21" s="3">
        <v>88</v>
      </c>
      <c r="F21" s="4">
        <f t="shared" si="0"/>
        <v>1200</v>
      </c>
      <c r="G21" s="4">
        <f t="shared" si="1"/>
        <v>800</v>
      </c>
      <c r="H21" s="4">
        <f t="shared" si="2"/>
        <v>105600</v>
      </c>
      <c r="I21" s="6">
        <f t="shared" si="3"/>
        <v>35200</v>
      </c>
    </row>
    <row r="22" spans="1:9" x14ac:dyDescent="0.35">
      <c r="A22" s="2">
        <v>44378</v>
      </c>
      <c r="B22" t="s">
        <v>20</v>
      </c>
      <c r="C22" t="s">
        <v>18</v>
      </c>
      <c r="D22" t="s">
        <v>26</v>
      </c>
      <c r="E22" s="3">
        <v>104</v>
      </c>
      <c r="F22" s="4">
        <f t="shared" si="0"/>
        <v>600</v>
      </c>
      <c r="G22" s="4">
        <f t="shared" si="1"/>
        <v>400</v>
      </c>
      <c r="H22" s="4">
        <f t="shared" si="2"/>
        <v>62400</v>
      </c>
      <c r="I22" s="6">
        <f t="shared" si="3"/>
        <v>20800</v>
      </c>
    </row>
    <row r="23" spans="1:9" x14ac:dyDescent="0.35">
      <c r="A23" s="2">
        <v>44441</v>
      </c>
      <c r="B23" t="s">
        <v>8</v>
      </c>
      <c r="C23" t="s">
        <v>18</v>
      </c>
      <c r="D23" t="s">
        <v>21</v>
      </c>
      <c r="E23" s="3">
        <v>127</v>
      </c>
      <c r="F23" s="4">
        <f t="shared" si="0"/>
        <v>4000</v>
      </c>
      <c r="G23" s="4">
        <f t="shared" si="1"/>
        <v>3000</v>
      </c>
      <c r="H23" s="4">
        <f t="shared" si="2"/>
        <v>508000</v>
      </c>
      <c r="I23" s="6">
        <f t="shared" si="3"/>
        <v>127000</v>
      </c>
    </row>
    <row r="24" spans="1:9" x14ac:dyDescent="0.35">
      <c r="A24" s="2">
        <v>44211</v>
      </c>
      <c r="B24" t="s">
        <v>8</v>
      </c>
      <c r="C24" t="s">
        <v>18</v>
      </c>
      <c r="D24" t="s">
        <v>10</v>
      </c>
      <c r="E24" s="3">
        <v>78</v>
      </c>
      <c r="F24" s="4">
        <f t="shared" si="0"/>
        <v>6000</v>
      </c>
      <c r="G24" s="4">
        <f t="shared" si="1"/>
        <v>4000</v>
      </c>
      <c r="H24" s="4">
        <f t="shared" si="2"/>
        <v>468000</v>
      </c>
      <c r="I24" s="6">
        <f t="shared" si="3"/>
        <v>156000</v>
      </c>
    </row>
    <row r="25" spans="1:9" x14ac:dyDescent="0.35">
      <c r="A25" s="2">
        <v>44496</v>
      </c>
      <c r="B25" t="s">
        <v>20</v>
      </c>
      <c r="C25" t="s">
        <v>18</v>
      </c>
      <c r="D25" t="s">
        <v>26</v>
      </c>
      <c r="E25" s="3">
        <v>130</v>
      </c>
      <c r="F25" s="4">
        <f t="shared" si="0"/>
        <v>600</v>
      </c>
      <c r="G25" s="4">
        <f t="shared" si="1"/>
        <v>400</v>
      </c>
      <c r="H25" s="4">
        <f t="shared" si="2"/>
        <v>78000</v>
      </c>
      <c r="I25" s="6">
        <f t="shared" si="3"/>
        <v>26000</v>
      </c>
    </row>
    <row r="26" spans="1:9" x14ac:dyDescent="0.35">
      <c r="A26" s="2">
        <v>44230</v>
      </c>
      <c r="B26" t="s">
        <v>14</v>
      </c>
      <c r="C26" t="s">
        <v>15</v>
      </c>
      <c r="D26" t="s">
        <v>16</v>
      </c>
      <c r="E26" s="3">
        <v>136</v>
      </c>
      <c r="F26" s="4">
        <f t="shared" si="0"/>
        <v>1200</v>
      </c>
      <c r="G26" s="4">
        <f t="shared" si="1"/>
        <v>800</v>
      </c>
      <c r="H26" s="4">
        <f t="shared" si="2"/>
        <v>163200</v>
      </c>
      <c r="I26" s="6">
        <f t="shared" si="3"/>
        <v>54400</v>
      </c>
    </row>
    <row r="27" spans="1:9" x14ac:dyDescent="0.35">
      <c r="A27" s="2">
        <v>44141</v>
      </c>
      <c r="B27" t="s">
        <v>24</v>
      </c>
      <c r="C27" t="s">
        <v>15</v>
      </c>
      <c r="D27" t="s">
        <v>10</v>
      </c>
      <c r="E27" s="3">
        <v>146</v>
      </c>
      <c r="F27" s="4">
        <f t="shared" si="0"/>
        <v>6000</v>
      </c>
      <c r="G27" s="4">
        <f t="shared" si="1"/>
        <v>4000</v>
      </c>
      <c r="H27" s="4">
        <f t="shared" si="2"/>
        <v>876000</v>
      </c>
      <c r="I27" s="6">
        <f t="shared" si="3"/>
        <v>292000</v>
      </c>
    </row>
    <row r="28" spans="1:9" x14ac:dyDescent="0.35">
      <c r="A28" s="2">
        <v>44442</v>
      </c>
      <c r="B28" t="s">
        <v>27</v>
      </c>
      <c r="C28" t="s">
        <v>15</v>
      </c>
      <c r="D28" t="s">
        <v>10</v>
      </c>
      <c r="E28" s="3">
        <v>52</v>
      </c>
      <c r="F28" s="4">
        <f t="shared" si="0"/>
        <v>6000</v>
      </c>
      <c r="G28" s="4">
        <f t="shared" si="1"/>
        <v>4000</v>
      </c>
      <c r="H28" s="4">
        <f t="shared" si="2"/>
        <v>312000</v>
      </c>
      <c r="I28" s="6">
        <f t="shared" si="3"/>
        <v>104000</v>
      </c>
    </row>
    <row r="29" spans="1:9" x14ac:dyDescent="0.35">
      <c r="A29" s="2">
        <v>44084</v>
      </c>
      <c r="B29" t="s">
        <v>27</v>
      </c>
      <c r="C29" t="s">
        <v>15</v>
      </c>
      <c r="D29" t="s">
        <v>19</v>
      </c>
      <c r="E29" s="3">
        <v>137</v>
      </c>
      <c r="F29" s="4">
        <f t="shared" si="0"/>
        <v>1000</v>
      </c>
      <c r="G29" s="4">
        <f t="shared" si="1"/>
        <v>700</v>
      </c>
      <c r="H29" s="4">
        <f t="shared" si="2"/>
        <v>137000</v>
      </c>
      <c r="I29" s="6">
        <f t="shared" si="3"/>
        <v>41100</v>
      </c>
    </row>
    <row r="30" spans="1:9" x14ac:dyDescent="0.35">
      <c r="A30" s="2">
        <v>44404</v>
      </c>
      <c r="B30" t="s">
        <v>24</v>
      </c>
      <c r="C30" t="s">
        <v>15</v>
      </c>
      <c r="D30" t="s">
        <v>13</v>
      </c>
      <c r="E30" s="3">
        <v>96</v>
      </c>
      <c r="F30" s="4">
        <f t="shared" si="0"/>
        <v>3500</v>
      </c>
      <c r="G30" s="4">
        <f t="shared" si="1"/>
        <v>2500</v>
      </c>
      <c r="H30" s="4">
        <f t="shared" si="2"/>
        <v>336000</v>
      </c>
      <c r="I30" s="6">
        <f t="shared" si="3"/>
        <v>96000</v>
      </c>
    </row>
    <row r="31" spans="1:9" x14ac:dyDescent="0.35">
      <c r="A31" s="2">
        <v>44083</v>
      </c>
      <c r="B31" t="s">
        <v>8</v>
      </c>
      <c r="C31" t="s">
        <v>15</v>
      </c>
      <c r="D31" t="s">
        <v>26</v>
      </c>
      <c r="E31" s="3">
        <v>83</v>
      </c>
      <c r="F31" s="4">
        <f t="shared" si="0"/>
        <v>600</v>
      </c>
      <c r="G31" s="4">
        <f t="shared" si="1"/>
        <v>400</v>
      </c>
      <c r="H31" s="4">
        <f t="shared" si="2"/>
        <v>49800</v>
      </c>
      <c r="I31" s="6">
        <f t="shared" si="3"/>
        <v>16600</v>
      </c>
    </row>
    <row r="32" spans="1:9" x14ac:dyDescent="0.35">
      <c r="A32" s="2">
        <v>44421</v>
      </c>
      <c r="B32" t="s">
        <v>20</v>
      </c>
      <c r="C32" t="s">
        <v>15</v>
      </c>
      <c r="D32" t="s">
        <v>19</v>
      </c>
      <c r="E32" s="3">
        <v>91</v>
      </c>
      <c r="F32" s="4">
        <f t="shared" si="0"/>
        <v>1000</v>
      </c>
      <c r="G32" s="4">
        <f t="shared" si="1"/>
        <v>700</v>
      </c>
      <c r="H32" s="4">
        <f t="shared" si="2"/>
        <v>91000</v>
      </c>
      <c r="I32" s="6">
        <f t="shared" si="3"/>
        <v>27300</v>
      </c>
    </row>
    <row r="33" spans="1:9" x14ac:dyDescent="0.35">
      <c r="A33" s="2">
        <v>43990</v>
      </c>
      <c r="B33" t="s">
        <v>20</v>
      </c>
      <c r="C33" t="s">
        <v>15</v>
      </c>
      <c r="D33" t="s">
        <v>26</v>
      </c>
      <c r="E33" s="3">
        <v>92</v>
      </c>
      <c r="F33" s="4">
        <f t="shared" si="0"/>
        <v>600</v>
      </c>
      <c r="G33" s="4">
        <f t="shared" si="1"/>
        <v>400</v>
      </c>
      <c r="H33" s="4">
        <f t="shared" si="2"/>
        <v>55200</v>
      </c>
      <c r="I33" s="6">
        <f t="shared" si="3"/>
        <v>18400</v>
      </c>
    </row>
    <row r="34" spans="1:9" x14ac:dyDescent="0.35">
      <c r="A34" s="2">
        <v>43971</v>
      </c>
      <c r="B34" t="s">
        <v>14</v>
      </c>
      <c r="C34" t="s">
        <v>15</v>
      </c>
      <c r="D34" t="s">
        <v>26</v>
      </c>
      <c r="E34" s="3">
        <v>143</v>
      </c>
      <c r="F34" s="4">
        <f t="shared" si="0"/>
        <v>600</v>
      </c>
      <c r="G34" s="4">
        <f t="shared" si="1"/>
        <v>400</v>
      </c>
      <c r="H34" s="4">
        <f t="shared" si="2"/>
        <v>85800</v>
      </c>
      <c r="I34" s="6">
        <f t="shared" si="3"/>
        <v>28600</v>
      </c>
    </row>
    <row r="35" spans="1:9" x14ac:dyDescent="0.35">
      <c r="A35" s="2">
        <v>44405</v>
      </c>
      <c r="B35" t="s">
        <v>11</v>
      </c>
      <c r="C35" t="s">
        <v>15</v>
      </c>
      <c r="D35" t="s">
        <v>13</v>
      </c>
      <c r="E35" s="3">
        <v>66</v>
      </c>
      <c r="F35" s="4">
        <f t="shared" ref="F35:F51" si="4">IF(D35="Tent",6000,IF(D35="Blender",3500,IF(D35="Action Figure",1200,IF(D35="Novel",1000,IF(D35="Sneakers",4000,IF(D35="Smartphone",10000,IF(D35="moisturizer",600,"No Product Found")))))))</f>
        <v>3500</v>
      </c>
      <c r="G35" s="4">
        <f t="shared" ref="G35:G51" si="5">IF(D35="Tent",4000,IF(D35="Blender",2500,IF(D35="Action Figure",800,IF(D35="Novel",700,IF(D35="Sneakers",3000,IF(D35="Smartphone",7000,IF(D35="moisturizer",400,"No Product Found")))))))</f>
        <v>2500</v>
      </c>
      <c r="H35" s="4">
        <f t="shared" ref="H35:H51" si="6">F35*E35</f>
        <v>231000</v>
      </c>
      <c r="I35" s="6">
        <f t="shared" ref="I35:I51" si="7">H35-(G35*E35)</f>
        <v>66000</v>
      </c>
    </row>
    <row r="36" spans="1:9" x14ac:dyDescent="0.35">
      <c r="A36" s="2">
        <v>44069</v>
      </c>
      <c r="B36" t="s">
        <v>27</v>
      </c>
      <c r="C36" t="s">
        <v>15</v>
      </c>
      <c r="D36" t="s">
        <v>19</v>
      </c>
      <c r="E36" s="3">
        <v>149</v>
      </c>
      <c r="F36" s="4">
        <f t="shared" si="4"/>
        <v>1000</v>
      </c>
      <c r="G36" s="4">
        <f t="shared" si="5"/>
        <v>700</v>
      </c>
      <c r="H36" s="4">
        <f t="shared" si="6"/>
        <v>149000</v>
      </c>
      <c r="I36" s="6">
        <f t="shared" si="7"/>
        <v>44700</v>
      </c>
    </row>
    <row r="37" spans="1:9" x14ac:dyDescent="0.35">
      <c r="A37" s="2">
        <v>44076</v>
      </c>
      <c r="B37" t="s">
        <v>22</v>
      </c>
      <c r="C37" t="s">
        <v>15</v>
      </c>
      <c r="D37" t="s">
        <v>26</v>
      </c>
      <c r="E37" s="3">
        <v>67</v>
      </c>
      <c r="F37" s="4">
        <f t="shared" si="4"/>
        <v>600</v>
      </c>
      <c r="G37" s="4">
        <f t="shared" si="5"/>
        <v>400</v>
      </c>
      <c r="H37" s="4">
        <f t="shared" si="6"/>
        <v>40200</v>
      </c>
      <c r="I37" s="6">
        <f t="shared" si="7"/>
        <v>13400</v>
      </c>
    </row>
    <row r="38" spans="1:9" x14ac:dyDescent="0.35">
      <c r="A38" s="2">
        <v>44070</v>
      </c>
      <c r="B38" t="s">
        <v>24</v>
      </c>
      <c r="C38" t="s">
        <v>15</v>
      </c>
      <c r="D38" t="s">
        <v>19</v>
      </c>
      <c r="E38" s="3">
        <v>69</v>
      </c>
      <c r="F38" s="4">
        <f t="shared" si="4"/>
        <v>1000</v>
      </c>
      <c r="G38" s="4">
        <f t="shared" si="5"/>
        <v>700</v>
      </c>
      <c r="H38" s="4">
        <f t="shared" si="6"/>
        <v>69000</v>
      </c>
      <c r="I38" s="6">
        <f t="shared" si="7"/>
        <v>20700</v>
      </c>
    </row>
    <row r="39" spans="1:9" x14ac:dyDescent="0.35">
      <c r="A39" s="2">
        <v>44517</v>
      </c>
      <c r="B39" t="s">
        <v>27</v>
      </c>
      <c r="C39" t="s">
        <v>15</v>
      </c>
      <c r="D39" t="s">
        <v>26</v>
      </c>
      <c r="E39" s="3">
        <v>109</v>
      </c>
      <c r="F39" s="4">
        <f t="shared" si="4"/>
        <v>600</v>
      </c>
      <c r="G39" s="4">
        <f t="shared" si="5"/>
        <v>400</v>
      </c>
      <c r="H39" s="4">
        <f t="shared" si="6"/>
        <v>65400</v>
      </c>
      <c r="I39" s="6">
        <f t="shared" si="7"/>
        <v>21800</v>
      </c>
    </row>
    <row r="40" spans="1:9" x14ac:dyDescent="0.35">
      <c r="A40" s="2">
        <v>44502</v>
      </c>
      <c r="B40" t="s">
        <v>17</v>
      </c>
      <c r="C40" t="s">
        <v>15</v>
      </c>
      <c r="D40" t="s">
        <v>13</v>
      </c>
      <c r="E40" s="3">
        <v>60</v>
      </c>
      <c r="F40" s="4">
        <f t="shared" si="4"/>
        <v>3500</v>
      </c>
      <c r="G40" s="4">
        <f t="shared" si="5"/>
        <v>2500</v>
      </c>
      <c r="H40" s="4">
        <f t="shared" si="6"/>
        <v>210000</v>
      </c>
      <c r="I40" s="6">
        <f t="shared" si="7"/>
        <v>60000</v>
      </c>
    </row>
    <row r="41" spans="1:9" x14ac:dyDescent="0.35">
      <c r="A41" s="2">
        <v>44462</v>
      </c>
      <c r="B41" t="s">
        <v>20</v>
      </c>
      <c r="C41" t="s">
        <v>9</v>
      </c>
      <c r="D41" t="s">
        <v>21</v>
      </c>
      <c r="E41" s="3">
        <v>110</v>
      </c>
      <c r="F41" s="4">
        <f t="shared" si="4"/>
        <v>4000</v>
      </c>
      <c r="G41" s="4">
        <f t="shared" si="5"/>
        <v>3000</v>
      </c>
      <c r="H41" s="4">
        <f t="shared" si="6"/>
        <v>440000</v>
      </c>
      <c r="I41" s="6">
        <f t="shared" si="7"/>
        <v>110000</v>
      </c>
    </row>
    <row r="42" spans="1:9" x14ac:dyDescent="0.35">
      <c r="A42" s="2">
        <v>44223</v>
      </c>
      <c r="B42" t="s">
        <v>25</v>
      </c>
      <c r="C42" t="s">
        <v>9</v>
      </c>
      <c r="D42" t="s">
        <v>26</v>
      </c>
      <c r="E42" s="3">
        <v>101</v>
      </c>
      <c r="F42" s="4">
        <f t="shared" si="4"/>
        <v>600</v>
      </c>
      <c r="G42" s="4">
        <f t="shared" si="5"/>
        <v>400</v>
      </c>
      <c r="H42" s="4">
        <f t="shared" si="6"/>
        <v>60600</v>
      </c>
      <c r="I42" s="6">
        <f t="shared" si="7"/>
        <v>20200</v>
      </c>
    </row>
    <row r="43" spans="1:9" x14ac:dyDescent="0.35">
      <c r="A43" s="2">
        <v>44292</v>
      </c>
      <c r="B43" t="s">
        <v>17</v>
      </c>
      <c r="C43" t="s">
        <v>9</v>
      </c>
      <c r="D43" t="s">
        <v>13</v>
      </c>
      <c r="E43" s="3">
        <v>76</v>
      </c>
      <c r="F43" s="4">
        <f t="shared" si="4"/>
        <v>3500</v>
      </c>
      <c r="G43" s="4">
        <f t="shared" si="5"/>
        <v>2500</v>
      </c>
      <c r="H43" s="4">
        <f t="shared" si="6"/>
        <v>266000</v>
      </c>
      <c r="I43" s="6">
        <f t="shared" si="7"/>
        <v>76000</v>
      </c>
    </row>
    <row r="44" spans="1:9" x14ac:dyDescent="0.35">
      <c r="A44" s="2">
        <v>44070</v>
      </c>
      <c r="B44" t="s">
        <v>22</v>
      </c>
      <c r="C44" t="s">
        <v>9</v>
      </c>
      <c r="D44" t="s">
        <v>28</v>
      </c>
      <c r="E44" s="3">
        <v>108</v>
      </c>
      <c r="F44" s="4">
        <f t="shared" si="4"/>
        <v>10000</v>
      </c>
      <c r="G44" s="4">
        <f t="shared" si="5"/>
        <v>7000</v>
      </c>
      <c r="H44" s="4">
        <f t="shared" si="6"/>
        <v>1080000</v>
      </c>
      <c r="I44" s="6">
        <f t="shared" si="7"/>
        <v>324000</v>
      </c>
    </row>
    <row r="45" spans="1:9" x14ac:dyDescent="0.35">
      <c r="A45" s="2">
        <v>44551</v>
      </c>
      <c r="B45" t="s">
        <v>24</v>
      </c>
      <c r="C45" t="s">
        <v>9</v>
      </c>
      <c r="D45" t="s">
        <v>10</v>
      </c>
      <c r="E45" s="3">
        <v>71</v>
      </c>
      <c r="F45" s="4">
        <f t="shared" si="4"/>
        <v>6000</v>
      </c>
      <c r="G45" s="4">
        <f t="shared" si="5"/>
        <v>4000</v>
      </c>
      <c r="H45" s="4">
        <f t="shared" si="6"/>
        <v>426000</v>
      </c>
      <c r="I45" s="6">
        <f t="shared" si="7"/>
        <v>142000</v>
      </c>
    </row>
    <row r="46" spans="1:9" x14ac:dyDescent="0.35">
      <c r="A46" s="2">
        <v>44452</v>
      </c>
      <c r="B46" t="s">
        <v>23</v>
      </c>
      <c r="C46" t="s">
        <v>9</v>
      </c>
      <c r="D46" t="s">
        <v>13</v>
      </c>
      <c r="E46" s="3">
        <v>143</v>
      </c>
      <c r="F46" s="4">
        <f t="shared" si="4"/>
        <v>3500</v>
      </c>
      <c r="G46" s="4">
        <f t="shared" si="5"/>
        <v>2500</v>
      </c>
      <c r="H46" s="4">
        <f t="shared" si="6"/>
        <v>500500</v>
      </c>
      <c r="I46" s="6">
        <f t="shared" si="7"/>
        <v>143000</v>
      </c>
    </row>
    <row r="47" spans="1:9" x14ac:dyDescent="0.35">
      <c r="A47" s="2">
        <v>44187</v>
      </c>
      <c r="B47" t="s">
        <v>17</v>
      </c>
      <c r="C47" t="s">
        <v>9</v>
      </c>
      <c r="D47" t="s">
        <v>19</v>
      </c>
      <c r="E47" s="3">
        <v>120</v>
      </c>
      <c r="F47" s="4">
        <f t="shared" si="4"/>
        <v>1000</v>
      </c>
      <c r="G47" s="4">
        <f t="shared" si="5"/>
        <v>700</v>
      </c>
      <c r="H47" s="4">
        <f t="shared" si="6"/>
        <v>120000</v>
      </c>
      <c r="I47" s="6">
        <f t="shared" si="7"/>
        <v>36000</v>
      </c>
    </row>
    <row r="48" spans="1:9" x14ac:dyDescent="0.35">
      <c r="A48" s="2">
        <v>43970</v>
      </c>
      <c r="B48" t="s">
        <v>20</v>
      </c>
      <c r="C48" t="s">
        <v>9</v>
      </c>
      <c r="D48" t="s">
        <v>21</v>
      </c>
      <c r="E48" s="3">
        <v>67</v>
      </c>
      <c r="F48" s="4">
        <f t="shared" si="4"/>
        <v>4000</v>
      </c>
      <c r="G48" s="4">
        <f t="shared" si="5"/>
        <v>3000</v>
      </c>
      <c r="H48" s="4">
        <f t="shared" si="6"/>
        <v>268000</v>
      </c>
      <c r="I48" s="6">
        <f t="shared" si="7"/>
        <v>67000</v>
      </c>
    </row>
    <row r="49" spans="1:9" x14ac:dyDescent="0.35">
      <c r="A49" s="2">
        <v>44404</v>
      </c>
      <c r="B49" t="s">
        <v>24</v>
      </c>
      <c r="C49" t="s">
        <v>9</v>
      </c>
      <c r="D49" t="s">
        <v>26</v>
      </c>
      <c r="E49" s="3">
        <v>57</v>
      </c>
      <c r="F49" s="4">
        <f t="shared" si="4"/>
        <v>600</v>
      </c>
      <c r="G49" s="4">
        <f t="shared" si="5"/>
        <v>400</v>
      </c>
      <c r="H49" s="4">
        <f t="shared" si="6"/>
        <v>34200</v>
      </c>
      <c r="I49" s="6">
        <f t="shared" si="7"/>
        <v>11400</v>
      </c>
    </row>
    <row r="50" spans="1:9" x14ac:dyDescent="0.35">
      <c r="A50" s="2">
        <v>44299</v>
      </c>
      <c r="B50" t="s">
        <v>22</v>
      </c>
      <c r="C50" t="s">
        <v>9</v>
      </c>
      <c r="D50" t="s">
        <v>19</v>
      </c>
      <c r="E50" s="3">
        <v>108</v>
      </c>
      <c r="F50" s="4">
        <f t="shared" si="4"/>
        <v>1000</v>
      </c>
      <c r="G50" s="4">
        <f t="shared" si="5"/>
        <v>700</v>
      </c>
      <c r="H50" s="4">
        <f t="shared" si="6"/>
        <v>108000</v>
      </c>
      <c r="I50" s="6">
        <f t="shared" si="7"/>
        <v>32400</v>
      </c>
    </row>
    <row r="51" spans="1:9" x14ac:dyDescent="0.35">
      <c r="A51" s="2">
        <v>44232</v>
      </c>
      <c r="B51" t="s">
        <v>20</v>
      </c>
      <c r="C51" t="s">
        <v>9</v>
      </c>
      <c r="D51" t="s">
        <v>16</v>
      </c>
      <c r="E51" s="3">
        <v>59</v>
      </c>
      <c r="F51" s="4">
        <f t="shared" si="4"/>
        <v>1200</v>
      </c>
      <c r="G51" s="4">
        <f t="shared" si="5"/>
        <v>800</v>
      </c>
      <c r="H51" s="4">
        <f t="shared" si="6"/>
        <v>70800</v>
      </c>
      <c r="I51" s="6">
        <f t="shared" si="7"/>
        <v>23600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4D390-730F-4E6D-A949-62BC85327881}">
  <dimension ref="A1:D1"/>
  <sheetViews>
    <sheetView showGridLines="0" topLeftCell="B14" zoomScale="70" zoomScaleNormal="70" workbookViewId="0">
      <selection activeCell="AG24" sqref="AG24"/>
    </sheetView>
  </sheetViews>
  <sheetFormatPr defaultRowHeight="14.5" x14ac:dyDescent="0.35"/>
  <cols>
    <col min="1" max="1" width="8.7265625" style="12" hidden="1" customWidth="1"/>
  </cols>
  <sheetData>
    <row r="1" spans="4:4" x14ac:dyDescent="0.35">
      <c r="D1" t="s">
        <v>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SalesData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Ram B</cp:lastModifiedBy>
  <dcterms:created xsi:type="dcterms:W3CDTF">2024-05-30T14:35:02Z</dcterms:created>
  <dcterms:modified xsi:type="dcterms:W3CDTF">2025-11-22T05:04:46Z</dcterms:modified>
</cp:coreProperties>
</file>